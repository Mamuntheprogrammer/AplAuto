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72.30.3.114\HRD_Common\Saiful 2\Setup, Target DNR\New Setup from September\"/>
    </mc:Choice>
  </mc:AlternateContent>
  <xr:revisionPtr revIDLastSave="0" documentId="13_ncr:1_{649F429C-C478-4A0A-ADCA-2A2DA67F5501}" xr6:coauthVersionLast="47" xr6:coauthVersionMax="47" xr10:uidLastSave="{00000000-0000-0000-0000-000000000000}"/>
  <bookViews>
    <workbookView xWindow="-120" yWindow="-120" windowWidth="29040" windowHeight="15720" tabRatio="692" activeTab="2" xr2:uid="{00000000-000D-0000-FFFF-FFFF00000000}"/>
  </bookViews>
  <sheets>
    <sheet name="Hierarchy Level" sheetId="4" r:id="rId1"/>
    <sheet name="Depot Head - 27 Depots (DNR)" sheetId="6" r:id="rId2"/>
    <sheet name="MIO Value Target (DNR)" sheetId="31" r:id="rId3"/>
    <sheet name="Employee Hierarchy" sheetId="29" r:id="rId4"/>
    <sheet name="Sheet1" sheetId="32" r:id="rId5"/>
  </sheets>
  <externalReferences>
    <externalReference r:id="rId6"/>
  </externalReferences>
  <definedNames>
    <definedName name="_xlnm._FilterDatabase" localSheetId="1" hidden="1">'Depot Head - 27 Depots (DNR)'!$A$1:$D$13</definedName>
    <definedName name="_xlnm._FilterDatabase" localSheetId="3" hidden="1">'Employee Hierarchy'!$A$1:$AK$369</definedName>
    <definedName name="_xlnm._FilterDatabase" localSheetId="2" hidden="1">'MIO Value Target (DNR)'!$A$1:$H$247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23" i="29" l="1"/>
  <c r="AI207" i="29"/>
  <c r="AI206" i="29"/>
  <c r="A9" i="29"/>
  <c r="AI9" i="29" s="1"/>
  <c r="A10" i="29"/>
  <c r="AI10" i="29" s="1"/>
  <c r="A11" i="29"/>
  <c r="AI11" i="29" s="1"/>
  <c r="A12" i="29"/>
  <c r="AI12" i="29" s="1"/>
  <c r="A13" i="29"/>
  <c r="AI13" i="29" s="1"/>
  <c r="A14" i="29"/>
  <c r="AI14" i="29" s="1"/>
  <c r="A15" i="29"/>
  <c r="AI15" i="29" s="1"/>
  <c r="A16" i="29"/>
  <c r="AI16" i="29" s="1"/>
  <c r="A17" i="29"/>
  <c r="AI17" i="29" s="1"/>
  <c r="A18" i="29"/>
  <c r="AI18" i="29" s="1"/>
  <c r="A19" i="29"/>
  <c r="AI19" i="29" s="1"/>
  <c r="A20" i="29"/>
  <c r="AI20" i="29" s="1"/>
  <c r="A21" i="29"/>
  <c r="AI21" i="29" s="1"/>
  <c r="A22" i="29"/>
  <c r="AI22" i="29" s="1"/>
  <c r="A23" i="29"/>
  <c r="AI23" i="29" s="1"/>
  <c r="A24" i="29"/>
  <c r="AI24" i="29" s="1"/>
  <c r="A25" i="29"/>
  <c r="AI25" i="29" s="1"/>
  <c r="A26" i="29"/>
  <c r="AI26" i="29" s="1"/>
  <c r="A27" i="29"/>
  <c r="AI27" i="29" s="1"/>
  <c r="A28" i="29"/>
  <c r="A29" i="29"/>
  <c r="A30" i="29"/>
  <c r="AI30" i="29" s="1"/>
  <c r="A31" i="29"/>
  <c r="A34" i="29"/>
  <c r="AI34" i="29" s="1"/>
  <c r="A35" i="29"/>
  <c r="AI35" i="29" s="1"/>
  <c r="A36" i="29"/>
  <c r="AI36" i="29" s="1"/>
  <c r="A37" i="29"/>
  <c r="AI37" i="29" s="1"/>
  <c r="A38" i="29"/>
  <c r="AI38" i="29" s="1"/>
  <c r="A39" i="29"/>
  <c r="AI39" i="29" s="1"/>
  <c r="A40" i="29"/>
  <c r="AI40" i="29" s="1"/>
  <c r="A41" i="29"/>
  <c r="AI41" i="29" s="1"/>
  <c r="A42" i="29"/>
  <c r="AI42" i="29" s="1"/>
  <c r="A43" i="29"/>
  <c r="AI43" i="29" s="1"/>
  <c r="A44" i="29"/>
  <c r="AI44" i="29" s="1"/>
  <c r="A45" i="29"/>
  <c r="A46" i="29"/>
  <c r="A47" i="29"/>
  <c r="A48" i="29"/>
  <c r="A49" i="29"/>
  <c r="A50" i="29"/>
  <c r="AI50" i="29" s="1"/>
  <c r="A51" i="29"/>
  <c r="AI51" i="29" s="1"/>
  <c r="A52" i="29"/>
  <c r="AI52" i="29" s="1"/>
  <c r="A53" i="29"/>
  <c r="AI53" i="29" s="1"/>
  <c r="A54" i="29"/>
  <c r="AI54" i="29" s="1"/>
  <c r="A55" i="29"/>
  <c r="AI55" i="29" s="1"/>
  <c r="A56" i="29"/>
  <c r="AI56" i="29" s="1"/>
  <c r="A57" i="29"/>
  <c r="AI57" i="29" s="1"/>
  <c r="A58" i="29"/>
  <c r="AI58" i="29" s="1"/>
  <c r="A59" i="29"/>
  <c r="AI59" i="29" s="1"/>
  <c r="A60" i="29"/>
  <c r="AI60" i="29" s="1"/>
  <c r="A61" i="29"/>
  <c r="AI61" i="29" s="1"/>
  <c r="A62" i="29"/>
  <c r="AI62" i="29" s="1"/>
  <c r="A63" i="29"/>
  <c r="AI63" i="29" s="1"/>
  <c r="A64" i="29"/>
  <c r="AI64" i="29" s="1"/>
  <c r="A65" i="29"/>
  <c r="AI65" i="29" s="1"/>
  <c r="A66" i="29"/>
  <c r="AI66" i="29" s="1"/>
  <c r="A67" i="29"/>
  <c r="AI67" i="29" s="1"/>
  <c r="A68" i="29"/>
  <c r="AI68" i="29" s="1"/>
  <c r="AI70" i="29"/>
  <c r="AI71" i="29"/>
  <c r="AI72" i="29"/>
  <c r="A73" i="29"/>
  <c r="AI73" i="29" s="1"/>
  <c r="A74" i="29"/>
  <c r="AI74" i="29" s="1"/>
  <c r="A75" i="29"/>
  <c r="AI75" i="29" s="1"/>
  <c r="A76" i="29"/>
  <c r="AI76" i="29" s="1"/>
  <c r="A77" i="29"/>
  <c r="AI77" i="29" s="1"/>
  <c r="A78" i="29"/>
  <c r="AI78" i="29" s="1"/>
  <c r="A79" i="29"/>
  <c r="AI79" i="29" s="1"/>
  <c r="A80" i="29"/>
  <c r="AI80" i="29" s="1"/>
  <c r="A81" i="29"/>
  <c r="A82" i="29"/>
  <c r="A83" i="29"/>
  <c r="A84" i="29"/>
  <c r="A85" i="29"/>
  <c r="AI85" i="29" s="1"/>
  <c r="A86" i="29"/>
  <c r="AI86" i="29" s="1"/>
  <c r="A87" i="29"/>
  <c r="AI87" i="29" s="1"/>
  <c r="A88" i="29"/>
  <c r="AI88" i="29" s="1"/>
  <c r="A89" i="29"/>
  <c r="AI89" i="29" s="1"/>
  <c r="A90" i="29"/>
  <c r="AI90" i="29" s="1"/>
  <c r="A91" i="29"/>
  <c r="AI91" i="29" s="1"/>
  <c r="A92" i="29"/>
  <c r="AI92" i="29" s="1"/>
  <c r="A93" i="29"/>
  <c r="AI93" i="29" s="1"/>
  <c r="A94" i="29"/>
  <c r="AI94" i="29" s="1"/>
  <c r="A95" i="29"/>
  <c r="AI95" i="29" s="1"/>
  <c r="A96" i="29"/>
  <c r="AI96" i="29" s="1"/>
  <c r="A97" i="29"/>
  <c r="AI97" i="29" s="1"/>
  <c r="A98" i="29"/>
  <c r="A99" i="29"/>
  <c r="A100" i="29"/>
  <c r="A101" i="29"/>
  <c r="AI101" i="29" s="1"/>
  <c r="A102" i="29"/>
  <c r="A103" i="29"/>
  <c r="A104" i="29"/>
  <c r="A105" i="29"/>
  <c r="AI105" i="29" s="1"/>
  <c r="A106" i="29"/>
  <c r="AI106" i="29" s="1"/>
  <c r="A107" i="29"/>
  <c r="AI107" i="29" s="1"/>
  <c r="A108" i="29"/>
  <c r="AI108" i="29" s="1"/>
  <c r="A109" i="29"/>
  <c r="AI109" i="29" s="1"/>
  <c r="A110" i="29"/>
  <c r="AI110" i="29" s="1"/>
  <c r="A111" i="29"/>
  <c r="AI111" i="29" s="1"/>
  <c r="AI112" i="29"/>
  <c r="AI113" i="29"/>
  <c r="AI114" i="29"/>
  <c r="AI115" i="29"/>
  <c r="A116" i="29"/>
  <c r="AI116" i="29" s="1"/>
  <c r="A117" i="29"/>
  <c r="A118" i="29"/>
  <c r="A119" i="29"/>
  <c r="A120" i="29"/>
  <c r="AI120" i="29" s="1"/>
  <c r="A121" i="29"/>
  <c r="A122" i="29"/>
  <c r="AI122" i="29" s="1"/>
  <c r="A123" i="29"/>
  <c r="AI123" i="29" s="1"/>
  <c r="A124" i="29"/>
  <c r="AI124" i="29" s="1"/>
  <c r="A125" i="29"/>
  <c r="AI125" i="29" s="1"/>
  <c r="A126" i="29"/>
  <c r="AI126" i="29" s="1"/>
  <c r="A127" i="29"/>
  <c r="AI127" i="29" s="1"/>
  <c r="A128" i="29"/>
  <c r="A129" i="29"/>
  <c r="A130" i="29"/>
  <c r="AI130" i="29" s="1"/>
  <c r="A131" i="29"/>
  <c r="AI131" i="29" s="1"/>
  <c r="A132" i="29"/>
  <c r="AI132" i="29" s="1"/>
  <c r="A133" i="29"/>
  <c r="AI133" i="29" s="1"/>
  <c r="A134" i="29"/>
  <c r="AI134" i="29" s="1"/>
  <c r="A135" i="29"/>
  <c r="A136" i="29"/>
  <c r="A137" i="29"/>
  <c r="AI137" i="29" s="1"/>
  <c r="A138" i="29"/>
  <c r="AI138" i="29" s="1"/>
  <c r="A139" i="29"/>
  <c r="AI139" i="29" s="1"/>
  <c r="A140" i="29"/>
  <c r="AI140" i="29" s="1"/>
  <c r="A141" i="29"/>
  <c r="AI141" i="29" s="1"/>
  <c r="A142" i="29"/>
  <c r="AI142" i="29" s="1"/>
  <c r="A143" i="29"/>
  <c r="AI143" i="29" s="1"/>
  <c r="A144" i="29"/>
  <c r="AI144" i="29" s="1"/>
  <c r="A145" i="29"/>
  <c r="AI145" i="29" s="1"/>
  <c r="A146" i="29"/>
  <c r="AI146" i="29" s="1"/>
  <c r="A147" i="29"/>
  <c r="AI147" i="29" s="1"/>
  <c r="A148" i="29"/>
  <c r="AI148" i="29" s="1"/>
  <c r="A149" i="29"/>
  <c r="AI149" i="29" s="1"/>
  <c r="A150" i="29"/>
  <c r="AI150" i="29" s="1"/>
  <c r="A151" i="29"/>
  <c r="AI151" i="29" s="1"/>
  <c r="A152" i="29"/>
  <c r="AI152" i="29" s="1"/>
  <c r="A153" i="29"/>
  <c r="A154" i="29"/>
  <c r="A155" i="29"/>
  <c r="AI155" i="29" s="1"/>
  <c r="A156" i="29"/>
  <c r="AI156" i="29" s="1"/>
  <c r="A157" i="29"/>
  <c r="AI157" i="29" s="1"/>
  <c r="A158" i="29"/>
  <c r="AI158" i="29" s="1"/>
  <c r="A159" i="29"/>
  <c r="AI159" i="29" s="1"/>
  <c r="A160" i="29"/>
  <c r="A161" i="29"/>
  <c r="AI162" i="29"/>
  <c r="AI163" i="29"/>
  <c r="AI164" i="29"/>
  <c r="AI165" i="29"/>
  <c r="AI166" i="29"/>
  <c r="AI167" i="29"/>
  <c r="AI168" i="29"/>
  <c r="AI169" i="29"/>
  <c r="AI170" i="29"/>
  <c r="AI175" i="29"/>
  <c r="AI178" i="29"/>
  <c r="AI181" i="29"/>
  <c r="AI182" i="29"/>
  <c r="A183" i="29"/>
  <c r="AI183" i="29" s="1"/>
  <c r="A184" i="29"/>
  <c r="AI184" i="29" s="1"/>
  <c r="A185" i="29"/>
  <c r="AI185" i="29" s="1"/>
  <c r="A186" i="29"/>
  <c r="AI186" i="29" s="1"/>
  <c r="A187" i="29"/>
  <c r="AI187" i="29" s="1"/>
  <c r="A188" i="29"/>
  <c r="AI188" i="29" s="1"/>
  <c r="A189" i="29"/>
  <c r="AI189" i="29" s="1"/>
  <c r="A190" i="29"/>
  <c r="AI190" i="29" s="1"/>
  <c r="A191" i="29"/>
  <c r="AI191" i="29" s="1"/>
  <c r="A192" i="29"/>
  <c r="AI192" i="29" s="1"/>
  <c r="A193" i="29"/>
  <c r="AI193" i="29" s="1"/>
  <c r="A194" i="29"/>
  <c r="AI194" i="29" s="1"/>
  <c r="A195" i="29"/>
  <c r="AI195" i="29" s="1"/>
  <c r="A196" i="29"/>
  <c r="AI196" i="29" s="1"/>
  <c r="A197" i="29"/>
  <c r="AI197" i="29" s="1"/>
  <c r="A198" i="29"/>
  <c r="AI198" i="29" s="1"/>
  <c r="A199" i="29"/>
  <c r="AI199" i="29" s="1"/>
  <c r="A200" i="29"/>
  <c r="AI200" i="29" s="1"/>
  <c r="A201" i="29"/>
  <c r="AI201" i="29" s="1"/>
  <c r="A202" i="29"/>
  <c r="AI202" i="29" s="1"/>
  <c r="A203" i="29"/>
  <c r="AI203" i="29" s="1"/>
  <c r="A204" i="29"/>
  <c r="AI204" i="29" s="1"/>
  <c r="A205" i="29"/>
  <c r="AI205" i="29" s="1"/>
  <c r="A208" i="29"/>
  <c r="AI208" i="29" s="1"/>
  <c r="AI213" i="29"/>
  <c r="AI214" i="29"/>
  <c r="A215" i="29"/>
  <c r="AI215" i="29" s="1"/>
  <c r="A216" i="29"/>
  <c r="AI216" i="29" s="1"/>
  <c r="A217" i="29"/>
  <c r="AI217" i="29" s="1"/>
  <c r="A218" i="29"/>
  <c r="AI218" i="29" s="1"/>
  <c r="A219" i="29"/>
  <c r="AI219" i="29" s="1"/>
  <c r="A220" i="29"/>
  <c r="AI220" i="29" s="1"/>
  <c r="A221" i="29"/>
  <c r="A222" i="29"/>
  <c r="A223" i="29"/>
  <c r="AI223" i="29" s="1"/>
  <c r="A224" i="29"/>
  <c r="AI224" i="29" s="1"/>
  <c r="A225" i="29"/>
  <c r="AI225" i="29" s="1"/>
  <c r="A226" i="29"/>
  <c r="AI226" i="29" s="1"/>
  <c r="A227" i="29"/>
  <c r="AI227" i="29" s="1"/>
  <c r="A228" i="29"/>
  <c r="AI228" i="29" s="1"/>
  <c r="A229" i="29"/>
  <c r="AI229" i="29" s="1"/>
  <c r="A230" i="29"/>
  <c r="AI230" i="29" s="1"/>
  <c r="A231" i="29"/>
  <c r="AI231" i="29" s="1"/>
  <c r="A232" i="29"/>
  <c r="AI232" i="29" s="1"/>
  <c r="A233" i="29"/>
  <c r="AI233" i="29" s="1"/>
  <c r="A234" i="29"/>
  <c r="AI234" i="29" s="1"/>
  <c r="A235" i="29"/>
  <c r="AI235" i="29" s="1"/>
  <c r="A236" i="29"/>
  <c r="AI236" i="29" s="1"/>
  <c r="A237" i="29"/>
  <c r="AI237" i="29" s="1"/>
  <c r="A238" i="29"/>
  <c r="AI238" i="29" s="1"/>
  <c r="A239" i="29"/>
  <c r="AI239" i="29" s="1"/>
  <c r="A240" i="29"/>
  <c r="AI240" i="29" s="1"/>
  <c r="A241" i="29"/>
  <c r="AI241" i="29" s="1"/>
  <c r="A242" i="29"/>
  <c r="AI242" i="29" s="1"/>
  <c r="A243" i="29"/>
  <c r="AI243" i="29" s="1"/>
  <c r="A244" i="29"/>
  <c r="AI244" i="29" s="1"/>
  <c r="A245" i="29"/>
  <c r="AI245" i="29" s="1"/>
  <c r="A246" i="29"/>
  <c r="AI246" i="29" s="1"/>
  <c r="A247" i="29"/>
  <c r="AI247" i="29" s="1"/>
  <c r="A248" i="29"/>
  <c r="AI248" i="29" s="1"/>
  <c r="A249" i="29"/>
  <c r="AI249" i="29" s="1"/>
  <c r="A250" i="29"/>
  <c r="AI250" i="29" s="1"/>
  <c r="A251" i="29"/>
  <c r="AI251" i="29" s="1"/>
  <c r="A252" i="29"/>
  <c r="AI252" i="29" s="1"/>
  <c r="A253" i="29"/>
  <c r="AI253" i="29" s="1"/>
  <c r="A254" i="29"/>
  <c r="AI254" i="29" s="1"/>
  <c r="A255" i="29"/>
  <c r="AI255" i="29" s="1"/>
  <c r="A256" i="29"/>
  <c r="AI256" i="29" s="1"/>
  <c r="A257" i="29"/>
  <c r="AI257" i="29" s="1"/>
  <c r="A258" i="29"/>
  <c r="AI258" i="29" s="1"/>
  <c r="A259" i="29"/>
  <c r="AI259" i="29" s="1"/>
  <c r="A260" i="29"/>
  <c r="AI260" i="29" s="1"/>
  <c r="A261" i="29"/>
  <c r="AI261" i="29" s="1"/>
  <c r="A262" i="29"/>
  <c r="AI262" i="29" s="1"/>
  <c r="A263" i="29"/>
  <c r="AI263" i="29" s="1"/>
  <c r="A264" i="29"/>
  <c r="AI264" i="29" s="1"/>
  <c r="A265" i="29"/>
  <c r="AI265" i="29" s="1"/>
  <c r="A266" i="29"/>
  <c r="AI266" i="29" s="1"/>
  <c r="AI268" i="29"/>
  <c r="AI272" i="29"/>
  <c r="AI273" i="29"/>
  <c r="A277" i="29"/>
  <c r="AI277" i="29" s="1"/>
  <c r="A278" i="29"/>
  <c r="AI278" i="29" s="1"/>
  <c r="A279" i="29"/>
  <c r="AI279" i="29" s="1"/>
  <c r="A280" i="29"/>
  <c r="AI280" i="29" s="1"/>
  <c r="A281" i="29"/>
  <c r="AI281" i="29" s="1"/>
  <c r="A282" i="29"/>
  <c r="A283" i="29"/>
  <c r="AI283" i="29" s="1"/>
  <c r="A284" i="29"/>
  <c r="A285" i="29"/>
  <c r="AI285" i="29" s="1"/>
  <c r="A286" i="29"/>
  <c r="AI286" i="29" s="1"/>
  <c r="A287" i="29"/>
  <c r="AI287" i="29" s="1"/>
  <c r="A288" i="29"/>
  <c r="AI288" i="29" s="1"/>
  <c r="A289" i="29"/>
  <c r="AI289" i="29" s="1"/>
  <c r="A290" i="29"/>
  <c r="AI290" i="29" s="1"/>
  <c r="A291" i="29"/>
  <c r="AI291" i="29" s="1"/>
  <c r="A292" i="29"/>
  <c r="AI292" i="29" s="1"/>
  <c r="A293" i="29"/>
  <c r="AI293" i="29" s="1"/>
  <c r="A294" i="29"/>
  <c r="AI294" i="29" s="1"/>
  <c r="A295" i="29"/>
  <c r="AI295" i="29" s="1"/>
  <c r="A296" i="29"/>
  <c r="AI296" i="29" s="1"/>
  <c r="A297" i="29"/>
  <c r="AI297" i="29" s="1"/>
  <c r="A298" i="29"/>
  <c r="AI298" i="29" s="1"/>
  <c r="A299" i="29"/>
  <c r="AI299" i="29" s="1"/>
  <c r="A300" i="29"/>
  <c r="A301" i="29"/>
  <c r="A302" i="29"/>
  <c r="AI302" i="29" s="1"/>
  <c r="A303" i="29"/>
  <c r="AI303" i="29" s="1"/>
  <c r="A304" i="29"/>
  <c r="AI304" i="29" s="1"/>
  <c r="A305" i="29"/>
  <c r="AI305" i="29" s="1"/>
  <c r="A306" i="29"/>
  <c r="AI306" i="29" s="1"/>
  <c r="A307" i="29"/>
  <c r="A308" i="29"/>
  <c r="A309" i="29"/>
  <c r="A310" i="29"/>
  <c r="AI310" i="29" s="1"/>
  <c r="A311" i="29"/>
  <c r="AI311" i="29" s="1"/>
  <c r="A312" i="29"/>
  <c r="AI312" i="29" s="1"/>
  <c r="A313" i="29"/>
  <c r="AI313" i="29" s="1"/>
  <c r="A314" i="29"/>
  <c r="AI314" i="29" s="1"/>
  <c r="A315" i="29"/>
  <c r="AI315" i="29" s="1"/>
  <c r="A316" i="29"/>
  <c r="AI316" i="29" s="1"/>
  <c r="A317" i="29"/>
  <c r="AI317" i="29" s="1"/>
  <c r="A318" i="29"/>
  <c r="A319" i="29"/>
  <c r="AI319" i="29" s="1"/>
  <c r="A320" i="29"/>
  <c r="AI320" i="29" s="1"/>
  <c r="A321" i="29"/>
  <c r="AI321" i="29" s="1"/>
  <c r="AI327" i="29"/>
  <c r="AI328" i="29"/>
  <c r="AI329" i="29"/>
  <c r="AI330" i="29"/>
  <c r="AI331" i="29"/>
  <c r="AI332" i="29"/>
  <c r="AI333" i="29"/>
  <c r="A334" i="29"/>
  <c r="AI334" i="29" s="1"/>
  <c r="A335" i="29"/>
  <c r="AI335" i="29" s="1"/>
  <c r="A336" i="29"/>
  <c r="AI336" i="29" s="1"/>
  <c r="A337" i="29"/>
  <c r="AI337" i="29" s="1"/>
  <c r="A338" i="29"/>
  <c r="AI338" i="29" s="1"/>
  <c r="A339" i="29"/>
  <c r="AI339" i="29" s="1"/>
  <c r="A340" i="29"/>
  <c r="AI340" i="29" s="1"/>
  <c r="A341" i="29"/>
  <c r="AI341" i="29" s="1"/>
  <c r="A342" i="29"/>
  <c r="A343" i="29"/>
  <c r="AI343" i="29" s="1"/>
  <c r="A344" i="29"/>
  <c r="AI344" i="29" s="1"/>
  <c r="A345" i="29"/>
  <c r="AI345" i="29" s="1"/>
  <c r="A346" i="29"/>
  <c r="AI346" i="29" s="1"/>
  <c r="A347" i="29"/>
  <c r="AI347" i="29" s="1"/>
  <c r="A348" i="29"/>
  <c r="AI348" i="29" s="1"/>
  <c r="A349" i="29"/>
  <c r="AI349" i="29" s="1"/>
  <c r="A350" i="29"/>
  <c r="AI350" i="29" s="1"/>
  <c r="A351" i="29"/>
  <c r="AI351" i="29" s="1"/>
  <c r="A352" i="29"/>
  <c r="AI352" i="29" s="1"/>
  <c r="A353" i="29"/>
  <c r="AI353" i="29" s="1"/>
  <c r="A354" i="29"/>
  <c r="AI354" i="29" s="1"/>
  <c r="A355" i="29"/>
  <c r="AI355" i="29" s="1"/>
  <c r="A356" i="29"/>
  <c r="AI356" i="29" s="1"/>
  <c r="A357" i="29"/>
  <c r="AI357" i="29" s="1"/>
  <c r="A358" i="29"/>
  <c r="AI358" i="29" s="1"/>
  <c r="A359" i="29"/>
  <c r="AI359" i="29" s="1"/>
  <c r="A360" i="29"/>
  <c r="AI360" i="29" s="1"/>
  <c r="A361" i="29"/>
  <c r="AI361" i="29" s="1"/>
  <c r="A362" i="29"/>
  <c r="AI362" i="29" s="1"/>
  <c r="A363" i="29"/>
  <c r="AI363" i="29" s="1"/>
  <c r="AI364" i="29"/>
  <c r="AI365" i="29"/>
  <c r="AI366" i="29"/>
  <c r="AI367" i="29"/>
  <c r="AI368" i="29"/>
  <c r="AI369" i="29"/>
  <c r="A8" i="29"/>
  <c r="AI8" i="29" s="1"/>
  <c r="AI28" i="29"/>
  <c r="AI29" i="29"/>
  <c r="AI45" i="29"/>
  <c r="AI46" i="29"/>
  <c r="AI47" i="29"/>
  <c r="AI82" i="29"/>
  <c r="AI100" i="29"/>
  <c r="AI118" i="29"/>
  <c r="AI135" i="29"/>
  <c r="AI136" i="29"/>
  <c r="AI221" i="29"/>
  <c r="AI300" i="29"/>
  <c r="AI301" i="29"/>
  <c r="AI307" i="29"/>
  <c r="AI318" i="29"/>
  <c r="AI69" i="29"/>
  <c r="AI121" i="29"/>
  <c r="AI174" i="29"/>
  <c r="AI179" i="29"/>
  <c r="AI180" i="29"/>
  <c r="AI211" i="29"/>
  <c r="AI222" i="29"/>
  <c r="AI269" i="29"/>
  <c r="AI270" i="29"/>
  <c r="AI271" i="29"/>
  <c r="AI274" i="29"/>
  <c r="AI275" i="29"/>
  <c r="AI276" i="29"/>
  <c r="AI324" i="29"/>
  <c r="AI325" i="29"/>
  <c r="AI326" i="29"/>
  <c r="AI342" i="29"/>
  <c r="G3" i="31"/>
  <c r="G4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26" i="31"/>
  <c r="G27" i="31"/>
  <c r="G28" i="31"/>
  <c r="G29" i="31"/>
  <c r="G30" i="31"/>
  <c r="G31" i="31"/>
  <c r="G32" i="31"/>
  <c r="G33" i="31"/>
  <c r="G34" i="31"/>
  <c r="G35" i="31"/>
  <c r="G36" i="31"/>
  <c r="G37" i="31"/>
  <c r="G38" i="31"/>
  <c r="G39" i="31"/>
  <c r="G40" i="31"/>
  <c r="G41" i="31"/>
  <c r="G42" i="31"/>
  <c r="G43" i="31"/>
  <c r="G44" i="31"/>
  <c r="G45" i="31"/>
  <c r="G46" i="31"/>
  <c r="G47" i="31"/>
  <c r="G48" i="31"/>
  <c r="G49" i="31"/>
  <c r="G50" i="31"/>
  <c r="G51" i="31"/>
  <c r="G52" i="31"/>
  <c r="G53" i="31"/>
  <c r="G54" i="31"/>
  <c r="G55" i="31"/>
  <c r="G56" i="31"/>
  <c r="G57" i="31"/>
  <c r="G58" i="31"/>
  <c r="G59" i="31"/>
  <c r="G60" i="31"/>
  <c r="G61" i="31"/>
  <c r="G62" i="31"/>
  <c r="G63" i="31"/>
  <c r="G64" i="31"/>
  <c r="G65" i="31"/>
  <c r="G66" i="31"/>
  <c r="G67" i="31"/>
  <c r="G68" i="31"/>
  <c r="G69" i="31"/>
  <c r="G70" i="31"/>
  <c r="G71" i="31"/>
  <c r="G72" i="31"/>
  <c r="G73" i="31"/>
  <c r="G74" i="31"/>
  <c r="G75" i="31"/>
  <c r="G76" i="31"/>
  <c r="G77" i="31"/>
  <c r="G78" i="31"/>
  <c r="G79" i="31"/>
  <c r="G80" i="31"/>
  <c r="G81" i="31"/>
  <c r="G82" i="31"/>
  <c r="G83" i="31"/>
  <c r="G84" i="31"/>
  <c r="G85" i="31"/>
  <c r="G86" i="31"/>
  <c r="G87" i="31"/>
  <c r="G88" i="31"/>
  <c r="G89" i="31"/>
  <c r="G90" i="31"/>
  <c r="G91" i="31"/>
  <c r="G92" i="31"/>
  <c r="G93" i="31"/>
  <c r="G94" i="31"/>
  <c r="G95" i="31"/>
  <c r="G96" i="31"/>
  <c r="G97" i="31"/>
  <c r="G98" i="31"/>
  <c r="G99" i="31"/>
  <c r="G100" i="31"/>
  <c r="G101" i="31"/>
  <c r="G102" i="31"/>
  <c r="G103" i="31"/>
  <c r="G104" i="31"/>
  <c r="G105" i="31"/>
  <c r="G106" i="31"/>
  <c r="G107" i="31"/>
  <c r="G108" i="31"/>
  <c r="G109" i="31"/>
  <c r="G110" i="31"/>
  <c r="G111" i="31"/>
  <c r="G112" i="31"/>
  <c r="G113" i="31"/>
  <c r="G114" i="31"/>
  <c r="G115" i="31"/>
  <c r="G116" i="31"/>
  <c r="G117" i="31"/>
  <c r="G118" i="31"/>
  <c r="G119" i="31"/>
  <c r="G120" i="31"/>
  <c r="G121" i="31"/>
  <c r="G122" i="31"/>
  <c r="G123" i="31"/>
  <c r="G124" i="31"/>
  <c r="G125" i="31"/>
  <c r="G126" i="31"/>
  <c r="G127" i="31"/>
  <c r="G128" i="31"/>
  <c r="G129" i="31"/>
  <c r="G130" i="31"/>
  <c r="G131" i="31"/>
  <c r="G132" i="31"/>
  <c r="G133" i="31"/>
  <c r="G134" i="31"/>
  <c r="G135" i="31"/>
  <c r="G136" i="31"/>
  <c r="G137" i="31"/>
  <c r="G138" i="31"/>
  <c r="G139" i="31"/>
  <c r="G140" i="31"/>
  <c r="G141" i="31"/>
  <c r="G142" i="31"/>
  <c r="G143" i="31"/>
  <c r="G144" i="31"/>
  <c r="G145" i="31"/>
  <c r="G146" i="31"/>
  <c r="G147" i="31"/>
  <c r="G148" i="31"/>
  <c r="G149" i="31"/>
  <c r="G150" i="31"/>
  <c r="G151" i="31"/>
  <c r="G152" i="31"/>
  <c r="G153" i="31"/>
  <c r="G154" i="31"/>
  <c r="G155" i="31"/>
  <c r="G156" i="31"/>
  <c r="G157" i="31"/>
  <c r="G158" i="31"/>
  <c r="G159" i="31"/>
  <c r="G160" i="31"/>
  <c r="G161" i="31"/>
  <c r="G162" i="31"/>
  <c r="G163" i="31"/>
  <c r="G164" i="31"/>
  <c r="G165" i="31"/>
  <c r="G166" i="31"/>
  <c r="G167" i="31"/>
  <c r="G168" i="31"/>
  <c r="G169" i="31"/>
  <c r="G170" i="31"/>
  <c r="G171" i="31"/>
  <c r="G172" i="31"/>
  <c r="G173" i="31"/>
  <c r="G174" i="31"/>
  <c r="G175" i="31"/>
  <c r="G176" i="31"/>
  <c r="G177" i="31"/>
  <c r="G178" i="31"/>
  <c r="G179" i="31"/>
  <c r="G180" i="31"/>
  <c r="G181" i="31"/>
  <c r="G182" i="31"/>
  <c r="G183" i="31"/>
  <c r="G184" i="31"/>
  <c r="G185" i="31"/>
  <c r="G186" i="31"/>
  <c r="G187" i="31"/>
  <c r="G188" i="31"/>
  <c r="G189" i="31"/>
  <c r="G190" i="31"/>
  <c r="G191" i="31"/>
  <c r="G192" i="31"/>
  <c r="G193" i="31"/>
  <c r="G194" i="31"/>
  <c r="G195" i="31"/>
  <c r="G196" i="31"/>
  <c r="G197" i="31"/>
  <c r="G198" i="31"/>
  <c r="G199" i="31"/>
  <c r="G200" i="31"/>
  <c r="G201" i="31"/>
  <c r="G202" i="31"/>
  <c r="G203" i="31"/>
  <c r="G204" i="31"/>
  <c r="G205" i="31"/>
  <c r="G206" i="31"/>
  <c r="G207" i="31"/>
  <c r="G208" i="31"/>
  <c r="G209" i="31"/>
  <c r="G210" i="31"/>
  <c r="G211" i="31"/>
  <c r="G212" i="31"/>
  <c r="G213" i="31"/>
  <c r="G214" i="31"/>
  <c r="G215" i="31"/>
  <c r="G216" i="31"/>
  <c r="G217" i="31"/>
  <c r="G218" i="31"/>
  <c r="G219" i="31"/>
  <c r="G220" i="31"/>
  <c r="G221" i="31"/>
  <c r="G222" i="31"/>
  <c r="G223" i="31"/>
  <c r="G224" i="31"/>
  <c r="G225" i="31"/>
  <c r="G226" i="31"/>
  <c r="G227" i="31"/>
  <c r="G228" i="31"/>
  <c r="G229" i="31"/>
  <c r="G230" i="31"/>
  <c r="G231" i="31"/>
  <c r="G232" i="31"/>
  <c r="G233" i="31"/>
  <c r="G234" i="31"/>
  <c r="G235" i="31"/>
  <c r="G236" i="31"/>
  <c r="G237" i="31"/>
  <c r="G238" i="31"/>
  <c r="G239" i="31"/>
  <c r="G240" i="31"/>
  <c r="G241" i="31"/>
  <c r="G242" i="31"/>
  <c r="G243" i="31"/>
  <c r="G244" i="31"/>
  <c r="G245" i="31"/>
  <c r="G246" i="31"/>
  <c r="G247" i="31"/>
  <c r="G248" i="31"/>
  <c r="G249" i="31"/>
  <c r="G250" i="31"/>
  <c r="G251" i="31"/>
  <c r="G252" i="31"/>
  <c r="G253" i="31"/>
  <c r="G254" i="31"/>
  <c r="G2" i="31"/>
  <c r="AI81" i="29"/>
  <c r="AI83" i="29"/>
  <c r="AI84" i="29"/>
  <c r="AI102" i="29"/>
  <c r="AI103" i="29"/>
  <c r="AI104" i="29"/>
  <c r="AI48" i="29"/>
  <c r="AI49" i="29"/>
  <c r="AI119" i="29"/>
  <c r="AK369" i="29"/>
  <c r="AJ369" i="29"/>
  <c r="AK368" i="29"/>
  <c r="AJ368" i="29"/>
  <c r="AK367" i="29"/>
  <c r="AJ367" i="29"/>
  <c r="AK366" i="29"/>
  <c r="AJ366" i="29"/>
  <c r="AK365" i="29"/>
  <c r="AJ365" i="29"/>
  <c r="AK364" i="29"/>
  <c r="AJ364" i="29"/>
  <c r="AK363" i="29"/>
  <c r="AJ363" i="29"/>
  <c r="AK362" i="29"/>
  <c r="AJ362" i="29"/>
  <c r="AK361" i="29"/>
  <c r="AJ361" i="29"/>
  <c r="AK360" i="29"/>
  <c r="AJ360" i="29"/>
  <c r="AK359" i="29"/>
  <c r="AJ359" i="29"/>
  <c r="AK358" i="29"/>
  <c r="AJ358" i="29"/>
  <c r="AK357" i="29"/>
  <c r="AJ357" i="29"/>
  <c r="AK356" i="29"/>
  <c r="AJ356" i="29"/>
  <c r="AK355" i="29"/>
  <c r="AJ355" i="29"/>
  <c r="AK354" i="29"/>
  <c r="AJ354" i="29"/>
  <c r="AK353" i="29"/>
  <c r="AJ353" i="29"/>
  <c r="AK352" i="29"/>
  <c r="AJ352" i="29"/>
  <c r="AK351" i="29"/>
  <c r="AJ351" i="29"/>
  <c r="AK350" i="29"/>
  <c r="AJ350" i="29"/>
  <c r="AK349" i="29"/>
  <c r="AJ349" i="29"/>
  <c r="AK348" i="29"/>
  <c r="AJ348" i="29"/>
  <c r="AK347" i="29"/>
  <c r="AJ347" i="29"/>
  <c r="AK346" i="29"/>
  <c r="AJ346" i="29"/>
  <c r="AK345" i="29"/>
  <c r="AJ345" i="29"/>
  <c r="AK344" i="29"/>
  <c r="AJ344" i="29"/>
  <c r="AK343" i="29"/>
  <c r="AJ343" i="29"/>
  <c r="AK342" i="29"/>
  <c r="AJ342" i="29"/>
  <c r="AK341" i="29"/>
  <c r="AJ341" i="29"/>
  <c r="AK340" i="29"/>
  <c r="AJ340" i="29"/>
  <c r="AK339" i="29"/>
  <c r="AJ339" i="29"/>
  <c r="AK338" i="29"/>
  <c r="AJ338" i="29"/>
  <c r="AK337" i="29"/>
  <c r="AJ337" i="29"/>
  <c r="AK336" i="29"/>
  <c r="AJ336" i="29"/>
  <c r="AK335" i="29"/>
  <c r="AJ335" i="29"/>
  <c r="AK334" i="29"/>
  <c r="AJ334" i="29"/>
  <c r="AK333" i="29"/>
  <c r="AJ333" i="29"/>
  <c r="AK332" i="29"/>
  <c r="AJ332" i="29"/>
  <c r="AK331" i="29"/>
  <c r="AJ331" i="29"/>
  <c r="AK330" i="29"/>
  <c r="AJ330" i="29"/>
  <c r="AK329" i="29"/>
  <c r="AJ329" i="29"/>
  <c r="AK328" i="29"/>
  <c r="AJ328" i="29"/>
  <c r="AK327" i="29"/>
  <c r="AJ327" i="29"/>
  <c r="AK326" i="29"/>
  <c r="AJ326" i="29"/>
  <c r="AK325" i="29"/>
  <c r="AJ325" i="29"/>
  <c r="AK324" i="29"/>
  <c r="AJ324" i="29"/>
  <c r="AK323" i="29"/>
  <c r="AJ323" i="29"/>
  <c r="AK322" i="29"/>
  <c r="AJ322" i="29"/>
  <c r="AI322" i="29"/>
  <c r="AK321" i="29"/>
  <c r="AJ321" i="29"/>
  <c r="AK320" i="29"/>
  <c r="AJ320" i="29"/>
  <c r="AK319" i="29"/>
  <c r="AJ319" i="29"/>
  <c r="AK318" i="29"/>
  <c r="AJ318" i="29"/>
  <c r="AK317" i="29"/>
  <c r="AJ317" i="29"/>
  <c r="AK316" i="29"/>
  <c r="AJ316" i="29"/>
  <c r="AK315" i="29"/>
  <c r="AJ315" i="29"/>
  <c r="AK314" i="29"/>
  <c r="AJ314" i="29"/>
  <c r="AK313" i="29"/>
  <c r="AJ313" i="29"/>
  <c r="AK312" i="29"/>
  <c r="AJ312" i="29"/>
  <c r="AK311" i="29"/>
  <c r="AJ311" i="29"/>
  <c r="AK310" i="29"/>
  <c r="AJ310" i="29"/>
  <c r="AK309" i="29"/>
  <c r="AJ309" i="29"/>
  <c r="AK308" i="29"/>
  <c r="AJ308" i="29"/>
  <c r="AK307" i="29"/>
  <c r="AJ307" i="29"/>
  <c r="AK306" i="29"/>
  <c r="AJ306" i="29"/>
  <c r="AK305" i="29"/>
  <c r="AJ305" i="29"/>
  <c r="AK304" i="29"/>
  <c r="AJ304" i="29"/>
  <c r="AK303" i="29"/>
  <c r="AJ303" i="29"/>
  <c r="AK302" i="29"/>
  <c r="AJ302" i="29"/>
  <c r="AK301" i="29"/>
  <c r="AJ301" i="29"/>
  <c r="AK300" i="29"/>
  <c r="AJ300" i="29"/>
  <c r="AK299" i="29"/>
  <c r="AJ299" i="29"/>
  <c r="AK298" i="29"/>
  <c r="AJ298" i="29"/>
  <c r="AK297" i="29"/>
  <c r="AJ297" i="29"/>
  <c r="AK296" i="29"/>
  <c r="AJ296" i="29"/>
  <c r="AK295" i="29"/>
  <c r="AJ295" i="29"/>
  <c r="AK294" i="29"/>
  <c r="AJ294" i="29"/>
  <c r="AK293" i="29"/>
  <c r="AJ293" i="29"/>
  <c r="AK292" i="29"/>
  <c r="AJ292" i="29"/>
  <c r="AK291" i="29"/>
  <c r="AJ291" i="29"/>
  <c r="AK290" i="29"/>
  <c r="AJ290" i="29"/>
  <c r="AK289" i="29"/>
  <c r="AJ289" i="29"/>
  <c r="AK288" i="29"/>
  <c r="AJ288" i="29"/>
  <c r="AK287" i="29"/>
  <c r="AJ287" i="29"/>
  <c r="AK286" i="29"/>
  <c r="AJ286" i="29"/>
  <c r="AK285" i="29"/>
  <c r="AJ285" i="29"/>
  <c r="AK284" i="29"/>
  <c r="AJ284" i="29"/>
  <c r="AI284" i="29"/>
  <c r="AK283" i="29"/>
  <c r="AJ283" i="29"/>
  <c r="AK282" i="29"/>
  <c r="AJ282" i="29"/>
  <c r="AI282" i="29"/>
  <c r="AK281" i="29"/>
  <c r="AJ281" i="29"/>
  <c r="AK280" i="29"/>
  <c r="AJ280" i="29"/>
  <c r="AK279" i="29"/>
  <c r="AJ279" i="29"/>
  <c r="AK278" i="29"/>
  <c r="AJ278" i="29"/>
  <c r="AK277" i="29"/>
  <c r="AJ277" i="29"/>
  <c r="AK276" i="29"/>
  <c r="AJ276" i="29"/>
  <c r="AK275" i="29"/>
  <c r="AJ275" i="29"/>
  <c r="AK274" i="29"/>
  <c r="AJ274" i="29"/>
  <c r="AK273" i="29"/>
  <c r="AJ273" i="29"/>
  <c r="AK272" i="29"/>
  <c r="AJ272" i="29"/>
  <c r="AK271" i="29"/>
  <c r="AJ271" i="29"/>
  <c r="AK270" i="29"/>
  <c r="AJ270" i="29"/>
  <c r="AK269" i="29"/>
  <c r="AJ269" i="29"/>
  <c r="AK268" i="29"/>
  <c r="AJ268" i="29"/>
  <c r="AK267" i="29"/>
  <c r="AJ267" i="29"/>
  <c r="AI267" i="29"/>
  <c r="AK266" i="29"/>
  <c r="AJ266" i="29"/>
  <c r="AK265" i="29"/>
  <c r="AJ265" i="29"/>
  <c r="AK264" i="29"/>
  <c r="AJ264" i="29"/>
  <c r="AK263" i="29"/>
  <c r="AJ263" i="29"/>
  <c r="AK262" i="29"/>
  <c r="AJ262" i="29"/>
  <c r="AK261" i="29"/>
  <c r="AJ261" i="29"/>
  <c r="AK260" i="29"/>
  <c r="AJ260" i="29"/>
  <c r="AK259" i="29"/>
  <c r="AJ259" i="29"/>
  <c r="AK258" i="29"/>
  <c r="AJ258" i="29"/>
  <c r="AK257" i="29"/>
  <c r="AJ257" i="29"/>
  <c r="AK256" i="29"/>
  <c r="AJ256" i="29"/>
  <c r="AK255" i="29"/>
  <c r="AJ255" i="29"/>
  <c r="AK254" i="29"/>
  <c r="AJ254" i="29"/>
  <c r="AK253" i="29"/>
  <c r="AJ253" i="29"/>
  <c r="AK252" i="29"/>
  <c r="AJ252" i="29"/>
  <c r="AK251" i="29"/>
  <c r="AJ251" i="29"/>
  <c r="AK250" i="29"/>
  <c r="AJ250" i="29"/>
  <c r="AK249" i="29"/>
  <c r="AJ249" i="29"/>
  <c r="AK248" i="29"/>
  <c r="AJ248" i="29"/>
  <c r="AK247" i="29"/>
  <c r="AJ247" i="29"/>
  <c r="AK246" i="29"/>
  <c r="AJ246" i="29"/>
  <c r="AK245" i="29"/>
  <c r="AJ245" i="29"/>
  <c r="AK244" i="29"/>
  <c r="AJ244" i="29"/>
  <c r="AK243" i="29"/>
  <c r="AJ243" i="29"/>
  <c r="AK242" i="29"/>
  <c r="AJ242" i="29"/>
  <c r="AK241" i="29"/>
  <c r="AJ241" i="29"/>
  <c r="AK240" i="29"/>
  <c r="AJ240" i="29"/>
  <c r="AK239" i="29"/>
  <c r="AJ239" i="29"/>
  <c r="AK238" i="29"/>
  <c r="AJ238" i="29"/>
  <c r="AK237" i="29"/>
  <c r="AJ237" i="29"/>
  <c r="AK236" i="29"/>
  <c r="AJ236" i="29"/>
  <c r="AK235" i="29"/>
  <c r="AJ235" i="29"/>
  <c r="AK234" i="29"/>
  <c r="AJ234" i="29"/>
  <c r="AK233" i="29"/>
  <c r="AJ233" i="29"/>
  <c r="AK232" i="29"/>
  <c r="AJ232" i="29"/>
  <c r="AK231" i="29"/>
  <c r="AJ231" i="29"/>
  <c r="AK230" i="29"/>
  <c r="AJ230" i="29"/>
  <c r="AK229" i="29"/>
  <c r="AJ229" i="29"/>
  <c r="AK228" i="29"/>
  <c r="AJ228" i="29"/>
  <c r="AK227" i="29"/>
  <c r="AJ227" i="29"/>
  <c r="AK226" i="29"/>
  <c r="AJ226" i="29"/>
  <c r="AK225" i="29"/>
  <c r="AJ225" i="29"/>
  <c r="AK224" i="29"/>
  <c r="AJ224" i="29"/>
  <c r="AK223" i="29"/>
  <c r="AJ223" i="29"/>
  <c r="AK222" i="29"/>
  <c r="AJ222" i="29"/>
  <c r="AK221" i="29"/>
  <c r="AJ221" i="29"/>
  <c r="AK220" i="29"/>
  <c r="AJ220" i="29"/>
  <c r="AK219" i="29"/>
  <c r="AJ219" i="29"/>
  <c r="AK218" i="29"/>
  <c r="AJ218" i="29"/>
  <c r="AK217" i="29"/>
  <c r="AJ217" i="29"/>
  <c r="AK216" i="29"/>
  <c r="AJ216" i="29"/>
  <c r="AK215" i="29"/>
  <c r="AJ215" i="29"/>
  <c r="AK214" i="29"/>
  <c r="AJ214" i="29"/>
  <c r="AK213" i="29"/>
  <c r="AJ213" i="29"/>
  <c r="AK212" i="29"/>
  <c r="AJ212" i="29"/>
  <c r="AI212" i="29"/>
  <c r="AK211" i="29"/>
  <c r="AJ211" i="29"/>
  <c r="AK210" i="29"/>
  <c r="AJ210" i="29"/>
  <c r="AI210" i="29"/>
  <c r="AK209" i="29"/>
  <c r="AJ209" i="29"/>
  <c r="AI209" i="29"/>
  <c r="AK208" i="29"/>
  <c r="AJ208" i="29"/>
  <c r="AK207" i="29"/>
  <c r="AJ207" i="29"/>
  <c r="AK206" i="29"/>
  <c r="AJ206" i="29"/>
  <c r="AK205" i="29"/>
  <c r="AJ205" i="29"/>
  <c r="AK204" i="29"/>
  <c r="AJ204" i="29"/>
  <c r="AK203" i="29"/>
  <c r="AJ203" i="29"/>
  <c r="AK202" i="29"/>
  <c r="AJ202" i="29"/>
  <c r="AK201" i="29"/>
  <c r="AJ201" i="29"/>
  <c r="AK200" i="29"/>
  <c r="AJ200" i="29"/>
  <c r="AK199" i="29"/>
  <c r="AJ199" i="29"/>
  <c r="AK198" i="29"/>
  <c r="AJ198" i="29"/>
  <c r="AK197" i="29"/>
  <c r="AJ197" i="29"/>
  <c r="AK196" i="29"/>
  <c r="AJ196" i="29"/>
  <c r="AK195" i="29"/>
  <c r="AJ195" i="29"/>
  <c r="AK194" i="29"/>
  <c r="AJ194" i="29"/>
  <c r="AK193" i="29"/>
  <c r="AJ193" i="29"/>
  <c r="AK192" i="29"/>
  <c r="AJ192" i="29"/>
  <c r="AK191" i="29"/>
  <c r="AJ191" i="29"/>
  <c r="AK190" i="29"/>
  <c r="AJ190" i="29"/>
  <c r="AK189" i="29"/>
  <c r="AJ189" i="29"/>
  <c r="AK188" i="29"/>
  <c r="AJ188" i="29"/>
  <c r="AK187" i="29"/>
  <c r="AJ187" i="29"/>
  <c r="AK186" i="29"/>
  <c r="AJ186" i="29"/>
  <c r="AK185" i="29"/>
  <c r="AJ185" i="29"/>
  <c r="AK184" i="29"/>
  <c r="AJ184" i="29"/>
  <c r="AK183" i="29"/>
  <c r="AJ183" i="29"/>
  <c r="AK182" i="29"/>
  <c r="AJ182" i="29"/>
  <c r="AK181" i="29"/>
  <c r="AJ181" i="29"/>
  <c r="AK180" i="29"/>
  <c r="AJ180" i="29"/>
  <c r="AK179" i="29"/>
  <c r="AJ179" i="29"/>
  <c r="AK178" i="29"/>
  <c r="AJ178" i="29"/>
  <c r="AK177" i="29"/>
  <c r="AJ177" i="29"/>
  <c r="AI177" i="29"/>
  <c r="AK176" i="29"/>
  <c r="AJ176" i="29"/>
  <c r="AI176" i="29"/>
  <c r="AK175" i="29"/>
  <c r="AJ175" i="29"/>
  <c r="AK174" i="29"/>
  <c r="AJ174" i="29"/>
  <c r="AK173" i="29"/>
  <c r="AJ173" i="29"/>
  <c r="AI173" i="29"/>
  <c r="AK172" i="29"/>
  <c r="AJ172" i="29"/>
  <c r="AI172" i="29"/>
  <c r="AK171" i="29"/>
  <c r="AJ171" i="29"/>
  <c r="AI171" i="29"/>
  <c r="AK170" i="29"/>
  <c r="AJ170" i="29"/>
  <c r="AK169" i="29"/>
  <c r="AJ169" i="29"/>
  <c r="AK168" i="29"/>
  <c r="AJ168" i="29"/>
  <c r="AK167" i="29"/>
  <c r="AJ167" i="29"/>
  <c r="AK166" i="29"/>
  <c r="AJ166" i="29"/>
  <c r="AK165" i="29"/>
  <c r="AJ165" i="29"/>
  <c r="AK164" i="29"/>
  <c r="AJ164" i="29"/>
  <c r="AK163" i="29"/>
  <c r="AJ163" i="29"/>
  <c r="AK162" i="29"/>
  <c r="AJ162" i="29"/>
  <c r="AK161" i="29"/>
  <c r="AJ161" i="29"/>
  <c r="AK160" i="29"/>
  <c r="AJ160" i="29"/>
  <c r="AK159" i="29"/>
  <c r="AJ159" i="29"/>
  <c r="AK158" i="29"/>
  <c r="AJ158" i="29"/>
  <c r="AK157" i="29"/>
  <c r="AJ157" i="29"/>
  <c r="AK156" i="29"/>
  <c r="AJ156" i="29"/>
  <c r="AK155" i="29"/>
  <c r="AJ155" i="29"/>
  <c r="AK154" i="29"/>
  <c r="AJ154" i="29"/>
  <c r="AK153" i="29"/>
  <c r="AJ153" i="29"/>
  <c r="AK152" i="29"/>
  <c r="AJ152" i="29"/>
  <c r="AK151" i="29"/>
  <c r="AJ151" i="29"/>
  <c r="AK150" i="29"/>
  <c r="AJ150" i="29"/>
  <c r="AK149" i="29"/>
  <c r="AJ149" i="29"/>
  <c r="AK148" i="29"/>
  <c r="AJ148" i="29"/>
  <c r="AK147" i="29"/>
  <c r="AJ147" i="29"/>
  <c r="AK146" i="29"/>
  <c r="AJ146" i="29"/>
  <c r="AK145" i="29"/>
  <c r="AJ145" i="29"/>
  <c r="AK144" i="29"/>
  <c r="AJ144" i="29"/>
  <c r="AK143" i="29"/>
  <c r="AJ143" i="29"/>
  <c r="AK142" i="29"/>
  <c r="AJ142" i="29"/>
  <c r="AK141" i="29"/>
  <c r="AJ141" i="29"/>
  <c r="AK140" i="29"/>
  <c r="AJ140" i="29"/>
  <c r="AK139" i="29"/>
  <c r="AJ139" i="29"/>
  <c r="AK138" i="29"/>
  <c r="AJ138" i="29"/>
  <c r="AK137" i="29"/>
  <c r="AJ137" i="29"/>
  <c r="AK136" i="29"/>
  <c r="AJ136" i="29"/>
  <c r="AK135" i="29"/>
  <c r="AJ135" i="29"/>
  <c r="AK134" i="29"/>
  <c r="AJ134" i="29"/>
  <c r="AK133" i="29"/>
  <c r="AJ133" i="29"/>
  <c r="AK132" i="29"/>
  <c r="AJ132" i="29"/>
  <c r="AK131" i="29"/>
  <c r="AJ131" i="29"/>
  <c r="AK130" i="29"/>
  <c r="AJ130" i="29"/>
  <c r="AK129" i="29"/>
  <c r="AJ129" i="29"/>
  <c r="AK128" i="29"/>
  <c r="AJ128" i="29"/>
  <c r="AK127" i="29"/>
  <c r="AJ127" i="29"/>
  <c r="AK126" i="29"/>
  <c r="AJ126" i="29"/>
  <c r="AK125" i="29"/>
  <c r="AJ125" i="29"/>
  <c r="AK124" i="29"/>
  <c r="AJ124" i="29"/>
  <c r="AK123" i="29"/>
  <c r="AJ123" i="29"/>
  <c r="AK122" i="29"/>
  <c r="AJ122" i="29"/>
  <c r="AK121" i="29"/>
  <c r="AJ121" i="29"/>
  <c r="AK120" i="29"/>
  <c r="AJ120" i="29"/>
  <c r="AK119" i="29"/>
  <c r="AJ119" i="29"/>
  <c r="AK118" i="29"/>
  <c r="AJ118" i="29"/>
  <c r="AK117" i="29"/>
  <c r="AJ117" i="29"/>
  <c r="AI117" i="29"/>
  <c r="AK116" i="29"/>
  <c r="AJ116" i="29"/>
  <c r="AK115" i="29"/>
  <c r="AJ115" i="29"/>
  <c r="AK114" i="29"/>
  <c r="AJ114" i="29"/>
  <c r="AK113" i="29"/>
  <c r="AJ113" i="29"/>
  <c r="AK112" i="29"/>
  <c r="AJ112" i="29"/>
  <c r="AK111" i="29"/>
  <c r="AJ111" i="29"/>
  <c r="AK110" i="29"/>
  <c r="AJ110" i="29"/>
  <c r="AK109" i="29"/>
  <c r="AJ109" i="29"/>
  <c r="AK108" i="29"/>
  <c r="AJ108" i="29"/>
  <c r="AK107" i="29"/>
  <c r="AJ107" i="29"/>
  <c r="AK106" i="29"/>
  <c r="AJ106" i="29"/>
  <c r="AK105" i="29"/>
  <c r="AJ105" i="29"/>
  <c r="AK104" i="29"/>
  <c r="AJ104" i="29"/>
  <c r="AK103" i="29"/>
  <c r="AJ103" i="29"/>
  <c r="AK102" i="29"/>
  <c r="AJ102" i="29"/>
  <c r="AK101" i="29"/>
  <c r="AJ101" i="29"/>
  <c r="AK100" i="29"/>
  <c r="AJ100" i="29"/>
  <c r="AK99" i="29"/>
  <c r="AJ99" i="29"/>
  <c r="AK98" i="29"/>
  <c r="AJ98" i="29"/>
  <c r="AK97" i="29"/>
  <c r="AJ97" i="29"/>
  <c r="AK96" i="29"/>
  <c r="AJ96" i="29"/>
  <c r="AK95" i="29"/>
  <c r="AJ95" i="29"/>
  <c r="AK94" i="29"/>
  <c r="AJ94" i="29"/>
  <c r="AK93" i="29"/>
  <c r="AJ93" i="29"/>
  <c r="AK92" i="29"/>
  <c r="AJ92" i="29"/>
  <c r="AK91" i="29"/>
  <c r="AJ91" i="29"/>
  <c r="AK90" i="29"/>
  <c r="AJ90" i="29"/>
  <c r="AK89" i="29"/>
  <c r="AJ89" i="29"/>
  <c r="AK88" i="29"/>
  <c r="AJ88" i="29"/>
  <c r="AK87" i="29"/>
  <c r="AJ87" i="29"/>
  <c r="AK86" i="29"/>
  <c r="AJ86" i="29"/>
  <c r="AK85" i="29"/>
  <c r="AJ85" i="29"/>
  <c r="AK84" i="29"/>
  <c r="AJ84" i="29"/>
  <c r="AK83" i="29"/>
  <c r="AJ83" i="29"/>
  <c r="AK82" i="29"/>
  <c r="AJ82" i="29"/>
  <c r="AK81" i="29"/>
  <c r="AJ81" i="29"/>
  <c r="AK80" i="29"/>
  <c r="AJ80" i="29"/>
  <c r="AK79" i="29"/>
  <c r="AJ79" i="29"/>
  <c r="AK78" i="29"/>
  <c r="AJ78" i="29"/>
  <c r="AK77" i="29"/>
  <c r="AJ77" i="29"/>
  <c r="AK76" i="29"/>
  <c r="AJ76" i="29"/>
  <c r="AK75" i="29"/>
  <c r="AJ75" i="29"/>
  <c r="AK74" i="29"/>
  <c r="AJ74" i="29"/>
  <c r="AK73" i="29"/>
  <c r="AJ73" i="29"/>
  <c r="AK72" i="29"/>
  <c r="AJ72" i="29"/>
  <c r="AK71" i="29"/>
  <c r="AJ71" i="29"/>
  <c r="AK70" i="29"/>
  <c r="AJ70" i="29"/>
  <c r="AK69" i="29"/>
  <c r="AJ69" i="29"/>
  <c r="AK68" i="29"/>
  <c r="AJ68" i="29"/>
  <c r="AK67" i="29"/>
  <c r="AJ67" i="29"/>
  <c r="AK66" i="29"/>
  <c r="AJ66" i="29"/>
  <c r="AK65" i="29"/>
  <c r="AJ65" i="29"/>
  <c r="AK64" i="29"/>
  <c r="AJ64" i="29"/>
  <c r="AK63" i="29"/>
  <c r="AJ63" i="29"/>
  <c r="AK62" i="29"/>
  <c r="AJ62" i="29"/>
  <c r="AK61" i="29"/>
  <c r="AJ61" i="29"/>
  <c r="AK60" i="29"/>
  <c r="AJ60" i="29"/>
  <c r="AK59" i="29"/>
  <c r="AJ59" i="29"/>
  <c r="AK58" i="29"/>
  <c r="AJ58" i="29"/>
  <c r="AK57" i="29"/>
  <c r="AJ57" i="29"/>
  <c r="AK56" i="29"/>
  <c r="AJ56" i="29"/>
  <c r="AK55" i="29"/>
  <c r="AJ55" i="29"/>
  <c r="AK54" i="29"/>
  <c r="AJ54" i="29"/>
  <c r="AK53" i="29"/>
  <c r="AJ53" i="29"/>
  <c r="AK52" i="29"/>
  <c r="AJ52" i="29"/>
  <c r="AK51" i="29"/>
  <c r="AJ51" i="29"/>
  <c r="AK50" i="29"/>
  <c r="AJ50" i="29"/>
  <c r="AK49" i="29"/>
  <c r="AJ49" i="29"/>
  <c r="AK48" i="29"/>
  <c r="AJ48" i="29"/>
  <c r="AK47" i="29"/>
  <c r="AJ47" i="29"/>
  <c r="AK46" i="29"/>
  <c r="AJ46" i="29"/>
  <c r="AK45" i="29"/>
  <c r="AJ45" i="29"/>
  <c r="AK44" i="29"/>
  <c r="AJ44" i="29"/>
  <c r="AK43" i="29"/>
  <c r="AJ43" i="29"/>
  <c r="AK42" i="29"/>
  <c r="AJ42" i="29"/>
  <c r="AK41" i="29"/>
  <c r="AJ41" i="29"/>
  <c r="AK40" i="29"/>
  <c r="AJ40" i="29"/>
  <c r="AK39" i="29"/>
  <c r="AJ39" i="29"/>
  <c r="AK38" i="29"/>
  <c r="AJ38" i="29"/>
  <c r="AK37" i="29"/>
  <c r="AJ37" i="29"/>
  <c r="AK36" i="29"/>
  <c r="AJ36" i="29"/>
  <c r="AK35" i="29"/>
  <c r="AJ35" i="29"/>
  <c r="AK34" i="29"/>
  <c r="AJ34" i="29"/>
  <c r="AK33" i="29"/>
  <c r="AJ33" i="29"/>
  <c r="AI33" i="29"/>
  <c r="AK32" i="29"/>
  <c r="AJ32" i="29"/>
  <c r="AI32" i="29"/>
  <c r="AK31" i="29"/>
  <c r="AJ31" i="29"/>
  <c r="AI31" i="29"/>
  <c r="AK30" i="29"/>
  <c r="AJ30" i="29"/>
  <c r="AK29" i="29"/>
  <c r="AJ29" i="29"/>
  <c r="AK28" i="29"/>
  <c r="AJ28" i="29"/>
  <c r="AK27" i="29"/>
  <c r="AJ27" i="29"/>
  <c r="AK26" i="29"/>
  <c r="AJ26" i="29"/>
  <c r="AK25" i="29"/>
  <c r="AJ25" i="29"/>
  <c r="AK24" i="29"/>
  <c r="AJ24" i="29"/>
  <c r="AK23" i="29"/>
  <c r="AJ23" i="29"/>
  <c r="AK22" i="29"/>
  <c r="AJ22" i="29"/>
  <c r="AK21" i="29"/>
  <c r="AJ21" i="29"/>
  <c r="AK20" i="29"/>
  <c r="AJ20" i="29"/>
  <c r="AK19" i="29"/>
  <c r="AJ19" i="29"/>
  <c r="AK18" i="29"/>
  <c r="AJ18" i="29"/>
  <c r="AK17" i="29"/>
  <c r="AJ17" i="29"/>
  <c r="AK16" i="29"/>
  <c r="AJ16" i="29"/>
  <c r="AK15" i="29"/>
  <c r="AJ15" i="29"/>
  <c r="AK14" i="29"/>
  <c r="AJ14" i="29"/>
  <c r="AK13" i="29"/>
  <c r="AJ13" i="29"/>
  <c r="AK12" i="29"/>
  <c r="AJ12" i="29"/>
  <c r="AK11" i="29"/>
  <c r="AJ11" i="29"/>
  <c r="AK10" i="29"/>
  <c r="AJ10" i="29"/>
  <c r="AK9" i="29"/>
  <c r="AJ9" i="29"/>
  <c r="AK8" i="29"/>
  <c r="AJ8" i="29"/>
  <c r="AK7" i="29"/>
  <c r="AJ7" i="29"/>
  <c r="AI7" i="29"/>
  <c r="AK6" i="29"/>
  <c r="AJ6" i="29"/>
  <c r="AI6" i="29"/>
  <c r="AK5" i="29"/>
  <c r="AJ5" i="29"/>
  <c r="AI5" i="29"/>
  <c r="AK4" i="29"/>
  <c r="AJ4" i="29"/>
  <c r="AI4" i="29"/>
  <c r="AK3" i="29"/>
  <c r="AJ3" i="29"/>
  <c r="AI3" i="29"/>
  <c r="AK2" i="29"/>
  <c r="AJ2" i="29"/>
  <c r="AI2" i="29"/>
  <c r="J17" i="32"/>
  <c r="AI98" i="29" l="1"/>
  <c r="AI99" i="29"/>
  <c r="AI309" i="29"/>
  <c r="AI308" i="29"/>
  <c r="AI129" i="29"/>
  <c r="AI128" i="29"/>
  <c r="AI154" i="29"/>
  <c r="AI153" i="29"/>
  <c r="AI161" i="29"/>
  <c r="AI160" i="29"/>
</calcChain>
</file>

<file path=xl/sharedStrings.xml><?xml version="1.0" encoding="utf-8"?>
<sst xmlns="http://schemas.openxmlformats.org/spreadsheetml/2006/main" count="7981" uniqueCount="943">
  <si>
    <t>Division</t>
  </si>
  <si>
    <t>RSM</t>
  </si>
  <si>
    <t>ASM</t>
  </si>
  <si>
    <t>DSM</t>
  </si>
  <si>
    <t>SM</t>
  </si>
  <si>
    <t>AGM</t>
  </si>
  <si>
    <t>DGM</t>
  </si>
  <si>
    <t>GM</t>
  </si>
  <si>
    <t>01</t>
  </si>
  <si>
    <t xml:space="preserve">Hierarchy </t>
  </si>
  <si>
    <t>Field Force</t>
  </si>
  <si>
    <t>Designation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</si>
  <si>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</si>
  <si>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</si>
  <si>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</si>
  <si>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</si>
  <si>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</si>
  <si>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</si>
  <si>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</si>
  <si>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</si>
  <si>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</si>
  <si>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LA</t>
  </si>
  <si>
    <t>LB</t>
  </si>
  <si>
    <t>Depot Code</t>
  </si>
  <si>
    <t>Depot Head</t>
  </si>
  <si>
    <t>Pharma</t>
  </si>
  <si>
    <t>Optha</t>
  </si>
  <si>
    <t>AG</t>
  </si>
  <si>
    <t>Onco</t>
  </si>
  <si>
    <t>Start Date</t>
  </si>
  <si>
    <t>End Date</t>
  </si>
  <si>
    <t>EM00000000</t>
  </si>
  <si>
    <t>02</t>
  </si>
  <si>
    <t>DIV</t>
  </si>
  <si>
    <t>03</t>
  </si>
  <si>
    <t>04</t>
  </si>
  <si>
    <t>7</t>
  </si>
  <si>
    <t>Hierarchy</t>
  </si>
  <si>
    <t>AD</t>
  </si>
  <si>
    <t>RSM T. Code</t>
  </si>
  <si>
    <t>ASM T. Code</t>
  </si>
  <si>
    <t>DSM T. Code</t>
  </si>
  <si>
    <t>SM T. Code</t>
  </si>
  <si>
    <t>AGM T. Code</t>
  </si>
  <si>
    <t>DGM T. Code</t>
  </si>
  <si>
    <t>GM T. Code</t>
  </si>
  <si>
    <t>AD T. Code</t>
  </si>
  <si>
    <t>Employee ID</t>
  </si>
  <si>
    <t>MIO/ SMIO</t>
  </si>
  <si>
    <t>AM/ SAM</t>
  </si>
  <si>
    <t>MIO T. Code</t>
  </si>
  <si>
    <t>AM/ SAM T. Code</t>
  </si>
  <si>
    <t>AM</t>
  </si>
  <si>
    <t>SAM</t>
  </si>
  <si>
    <t>SSM</t>
  </si>
  <si>
    <t>SSM T. Code</t>
  </si>
  <si>
    <t>SAM T. Code</t>
  </si>
  <si>
    <t>Hierarchy Level</t>
  </si>
  <si>
    <t>MIO Code</t>
  </si>
  <si>
    <t>T. Code</t>
  </si>
  <si>
    <t>Currency</t>
  </si>
  <si>
    <t>BDT</t>
  </si>
  <si>
    <t>Total</t>
  </si>
  <si>
    <t>EM00011054</t>
  </si>
  <si>
    <t>PA011-D</t>
  </si>
  <si>
    <t>PA012-D</t>
  </si>
  <si>
    <t>PA013-D</t>
  </si>
  <si>
    <t>PA014-D</t>
  </si>
  <si>
    <t>PA015-D</t>
  </si>
  <si>
    <t>PA016-D</t>
  </si>
  <si>
    <t>PA010-D</t>
  </si>
  <si>
    <t>DH011-D</t>
  </si>
  <si>
    <t>DH012-D</t>
  </si>
  <si>
    <t>DH013-D</t>
  </si>
  <si>
    <t>DH014-D</t>
  </si>
  <si>
    <t>DH015-D</t>
  </si>
  <si>
    <t>DH010-D</t>
  </si>
  <si>
    <t>DH021-D</t>
  </si>
  <si>
    <t>DH022-D</t>
  </si>
  <si>
    <t>DH023-D</t>
  </si>
  <si>
    <t>DH024-D</t>
  </si>
  <si>
    <t>DH020-D</t>
  </si>
  <si>
    <t>DH031-D</t>
  </si>
  <si>
    <t>DH032-D</t>
  </si>
  <si>
    <t>DH033-D</t>
  </si>
  <si>
    <t>DH034-D</t>
  </si>
  <si>
    <t>DH035-D</t>
  </si>
  <si>
    <t>DH030-D</t>
  </si>
  <si>
    <t>KI011-D</t>
  </si>
  <si>
    <t>KI012-D</t>
  </si>
  <si>
    <t>KI013-D</t>
  </si>
  <si>
    <t>KI014-D</t>
  </si>
  <si>
    <t>KI010-D</t>
  </si>
  <si>
    <t>MY011-D</t>
  </si>
  <si>
    <t>MY012-D</t>
  </si>
  <si>
    <t>MY013-D</t>
  </si>
  <si>
    <t>MY014-D</t>
  </si>
  <si>
    <t>MY015-D</t>
  </si>
  <si>
    <t>MY010-D</t>
  </si>
  <si>
    <t>MY021-D</t>
  </si>
  <si>
    <t>MY022-D</t>
  </si>
  <si>
    <t>MY023-D</t>
  </si>
  <si>
    <t>MY024-D</t>
  </si>
  <si>
    <t>MY020-D</t>
  </si>
  <si>
    <t>TA011-D</t>
  </si>
  <si>
    <t>TA012-D</t>
  </si>
  <si>
    <t>TA013-D</t>
  </si>
  <si>
    <t>TA014-D</t>
  </si>
  <si>
    <t>TA015-D</t>
  </si>
  <si>
    <t>TA010-D</t>
  </si>
  <si>
    <t>UT011-D</t>
  </si>
  <si>
    <t>UT012-D</t>
  </si>
  <si>
    <t>UT013-D</t>
  </si>
  <si>
    <t>UT014-D</t>
  </si>
  <si>
    <t>UT015-D</t>
  </si>
  <si>
    <t>UT010-D</t>
  </si>
  <si>
    <t>UT021-D</t>
  </si>
  <si>
    <t>UT022-D</t>
  </si>
  <si>
    <t>UT023-D</t>
  </si>
  <si>
    <t>UT024-D</t>
  </si>
  <si>
    <t>UT020-D</t>
  </si>
  <si>
    <t>KE011-D</t>
  </si>
  <si>
    <t>KE012-D</t>
  </si>
  <si>
    <t>KE013-D</t>
  </si>
  <si>
    <t>KE014-D</t>
  </si>
  <si>
    <t>KE015-D</t>
  </si>
  <si>
    <t>KE016-D</t>
  </si>
  <si>
    <t>KE010-D</t>
  </si>
  <si>
    <t>NA011-D</t>
  </si>
  <si>
    <t>NA012-D</t>
  </si>
  <si>
    <t>NA013-D</t>
  </si>
  <si>
    <t>NA014-D</t>
  </si>
  <si>
    <t>NA015-D</t>
  </si>
  <si>
    <t>NA016-D</t>
  </si>
  <si>
    <t>NA010-D</t>
  </si>
  <si>
    <t>NA021-D</t>
  </si>
  <si>
    <t>NA022-D</t>
  </si>
  <si>
    <t>NA023-D</t>
  </si>
  <si>
    <t>NA024-D</t>
  </si>
  <si>
    <t>NA025-D</t>
  </si>
  <si>
    <t>NA026-D</t>
  </si>
  <si>
    <t>NA020-D</t>
  </si>
  <si>
    <t>DH041-D</t>
  </si>
  <si>
    <t>PA021-D</t>
  </si>
  <si>
    <t>PA020-D</t>
  </si>
  <si>
    <t>PA031-D</t>
  </si>
  <si>
    <t>PA032-D</t>
  </si>
  <si>
    <t>PA033-D</t>
  </si>
  <si>
    <t>PA034-D</t>
  </si>
  <si>
    <t>PA035-D</t>
  </si>
  <si>
    <t>PA030-D</t>
  </si>
  <si>
    <t>PA041-D</t>
  </si>
  <si>
    <t>PA042-D</t>
  </si>
  <si>
    <t>PA043-D</t>
  </si>
  <si>
    <t>PA044-D</t>
  </si>
  <si>
    <t>PA040-D</t>
  </si>
  <si>
    <t>EM00015722</t>
  </si>
  <si>
    <t>EM00015723</t>
  </si>
  <si>
    <t>EM00015582</t>
  </si>
  <si>
    <t>EM00007671</t>
  </si>
  <si>
    <t>EM00015585</t>
  </si>
  <si>
    <t>EM00015619</t>
  </si>
  <si>
    <t>EM00015733</t>
  </si>
  <si>
    <t>EM00011558</t>
  </si>
  <si>
    <t>EM00015587</t>
  </si>
  <si>
    <t>EM00015607</t>
  </si>
  <si>
    <t>EM00015608</t>
  </si>
  <si>
    <t>EM00015656</t>
  </si>
  <si>
    <t>EM00015621</t>
  </si>
  <si>
    <t>EM00015606</t>
  </si>
  <si>
    <t>EM00015586</t>
  </si>
  <si>
    <t>EM00015734</t>
  </si>
  <si>
    <t>EM00015736</t>
  </si>
  <si>
    <t>EM00015661</t>
  </si>
  <si>
    <t>EM00015760</t>
  </si>
  <si>
    <t>EM00015759</t>
  </si>
  <si>
    <t>EM00015588</t>
  </si>
  <si>
    <t>EM00015745</t>
  </si>
  <si>
    <t>EM00015610</t>
  </si>
  <si>
    <t>EM00015761</t>
  </si>
  <si>
    <t>EM00015754</t>
  </si>
  <si>
    <t>EM00015589</t>
  </si>
  <si>
    <t>EM00015750</t>
  </si>
  <si>
    <t>EM00015740</t>
  </si>
  <si>
    <t>EM00015747</t>
  </si>
  <si>
    <t>EM00015765</t>
  </si>
  <si>
    <t>EM00015595</t>
  </si>
  <si>
    <t>EM00015596</t>
  </si>
  <si>
    <t>EM00008760</t>
  </si>
  <si>
    <t>EM00015762</t>
  </si>
  <si>
    <t>EM00015753</t>
  </si>
  <si>
    <t>EM00015741</t>
  </si>
  <si>
    <t>EM00015584</t>
  </si>
  <si>
    <t>EM00015757</t>
  </si>
  <si>
    <t>EM00015748</t>
  </si>
  <si>
    <t>EM00010352</t>
  </si>
  <si>
    <t>EM00012371</t>
  </si>
  <si>
    <t>RD11001</t>
  </si>
  <si>
    <t>EM00015556</t>
  </si>
  <si>
    <t>RD11002</t>
  </si>
  <si>
    <t>RD11003</t>
  </si>
  <si>
    <t>EM00004537</t>
  </si>
  <si>
    <t>EM00013924</t>
  </si>
  <si>
    <t>SSM01-D</t>
  </si>
  <si>
    <t>EM00015388</t>
  </si>
  <si>
    <t>11</t>
  </si>
  <si>
    <t>DNR - Target Value                      (in Lac)</t>
  </si>
  <si>
    <t>8</t>
  </si>
  <si>
    <t>DNR</t>
  </si>
  <si>
    <t>PA022-D</t>
  </si>
  <si>
    <t>PA023-D</t>
  </si>
  <si>
    <t>BA011-D</t>
  </si>
  <si>
    <t>BA012-D</t>
  </si>
  <si>
    <t>BA013-D</t>
  </si>
  <si>
    <t>BA014-D</t>
  </si>
  <si>
    <t>BA015-D</t>
  </si>
  <si>
    <t>BA016-D</t>
  </si>
  <si>
    <t>BA010-D</t>
  </si>
  <si>
    <t>BA021-D</t>
  </si>
  <si>
    <t>BA022-D</t>
  </si>
  <si>
    <t>BA023-D</t>
  </si>
  <si>
    <t>BA024-D</t>
  </si>
  <si>
    <t>BA025-D</t>
  </si>
  <si>
    <t>BA020-D</t>
  </si>
  <si>
    <t>FA011-D</t>
  </si>
  <si>
    <t>FA012-D</t>
  </si>
  <si>
    <t>FA013-D</t>
  </si>
  <si>
    <t>FA014-D</t>
  </si>
  <si>
    <t>FA015-D</t>
  </si>
  <si>
    <t>FA016-D</t>
  </si>
  <si>
    <t>FA010-D</t>
  </si>
  <si>
    <t>JA011-D</t>
  </si>
  <si>
    <t>JA012-D</t>
  </si>
  <si>
    <t>JA013-D</t>
  </si>
  <si>
    <t>JA014-D</t>
  </si>
  <si>
    <t>JA015-D</t>
  </si>
  <si>
    <t>JA010-D</t>
  </si>
  <si>
    <t>JA021-D</t>
  </si>
  <si>
    <t>JA022-D</t>
  </si>
  <si>
    <t>JA023-D</t>
  </si>
  <si>
    <t>JA024-D</t>
  </si>
  <si>
    <t>JA020-D</t>
  </si>
  <si>
    <t>JA031-D</t>
  </si>
  <si>
    <t>JA032-D</t>
  </si>
  <si>
    <t>KH011-D</t>
  </si>
  <si>
    <t>KH012-D</t>
  </si>
  <si>
    <t>KH010-D</t>
  </si>
  <si>
    <t>FA021-D</t>
  </si>
  <si>
    <t>KH021-D</t>
  </si>
  <si>
    <t>KH022-D</t>
  </si>
  <si>
    <t>KH023-D</t>
  </si>
  <si>
    <t>KH024-D</t>
  </si>
  <si>
    <t>KH020-D</t>
  </si>
  <si>
    <t>EM00015624</t>
  </si>
  <si>
    <t>EM00015613</t>
  </si>
  <si>
    <t>EM00015659</t>
  </si>
  <si>
    <t>EM00015612</t>
  </si>
  <si>
    <t>EM00015603</t>
  </si>
  <si>
    <t>EM00015716</t>
  </si>
  <si>
    <t>EM00015580</t>
  </si>
  <si>
    <t>EM00015583</t>
  </si>
  <si>
    <t>EM00002440</t>
  </si>
  <si>
    <t>EM00015591</t>
  </si>
  <si>
    <t>EM00011191</t>
  </si>
  <si>
    <t>EM00015623</t>
  </si>
  <si>
    <t>EM00015599</t>
  </si>
  <si>
    <t>EM00015600</t>
  </si>
  <si>
    <t>EM00015658</t>
  </si>
  <si>
    <t>EM00015554</t>
  </si>
  <si>
    <t>EM000VAC01</t>
  </si>
  <si>
    <t>EM000VAC02</t>
  </si>
  <si>
    <t>EM000VAC03</t>
  </si>
  <si>
    <t>MT711-D</t>
  </si>
  <si>
    <t>MT710-D</t>
  </si>
  <si>
    <t>MTRSM1D</t>
  </si>
  <si>
    <t>RD11006</t>
  </si>
  <si>
    <t>EM00010882</t>
  </si>
  <si>
    <t>EM00016041</t>
  </si>
  <si>
    <t>EM00016045</t>
  </si>
  <si>
    <t>EM00015992</t>
  </si>
  <si>
    <t>EM00015983</t>
  </si>
  <si>
    <t>EM00016052</t>
  </si>
  <si>
    <t>EM00016053</t>
  </si>
  <si>
    <t>EM00016027</t>
  </si>
  <si>
    <t>EM00015997</t>
  </si>
  <si>
    <t>EM00016010</t>
  </si>
  <si>
    <t>EM00015999</t>
  </si>
  <si>
    <t>EM00016004</t>
  </si>
  <si>
    <t>EM00016009</t>
  </si>
  <si>
    <t>EM00015978</t>
  </si>
  <si>
    <t>EM00016002</t>
  </si>
  <si>
    <t>EM00016015</t>
  </si>
  <si>
    <t>EM00016000</t>
  </si>
  <si>
    <t>EM00015996</t>
  </si>
  <si>
    <t>EM00016014</t>
  </si>
  <si>
    <t>EM00015994</t>
  </si>
  <si>
    <t>EM00015977</t>
  </si>
  <si>
    <t>EM00015986</t>
  </si>
  <si>
    <t>EM00015988</t>
  </si>
  <si>
    <t>EM00015980</t>
  </si>
  <si>
    <t>EM00015979</t>
  </si>
  <si>
    <t>EM00015993</t>
  </si>
  <si>
    <t>EM00015982</t>
  </si>
  <si>
    <t>EM00016036</t>
  </si>
  <si>
    <t>EM00015991</t>
  </si>
  <si>
    <t>EM00016032</t>
  </si>
  <si>
    <t>EM00016021</t>
  </si>
  <si>
    <t>EM00016026</t>
  </si>
  <si>
    <t>EM00016016</t>
  </si>
  <si>
    <t>EM00016028</t>
  </si>
  <si>
    <t>EM00016018</t>
  </si>
  <si>
    <t>EM00016031</t>
  </si>
  <si>
    <t>EM00016013</t>
  </si>
  <si>
    <t>EM00016059</t>
  </si>
  <si>
    <t>EM00016051</t>
  </si>
  <si>
    <t>EM00016023</t>
  </si>
  <si>
    <t>EM00016025</t>
  </si>
  <si>
    <t>EM00016029</t>
  </si>
  <si>
    <t>EM00016030</t>
  </si>
  <si>
    <t>EM00016048</t>
  </si>
  <si>
    <t>EM00016054</t>
  </si>
  <si>
    <t>EM00016040</t>
  </si>
  <si>
    <t>EM00015867</t>
  </si>
  <si>
    <t>BO021-D</t>
  </si>
  <si>
    <t>BO022-D</t>
  </si>
  <si>
    <t>BO023-D</t>
  </si>
  <si>
    <t>BO024-D</t>
  </si>
  <si>
    <t>BO025-D</t>
  </si>
  <si>
    <t>BO026-D</t>
  </si>
  <si>
    <t>BO027-D</t>
  </si>
  <si>
    <t>BO020-D</t>
  </si>
  <si>
    <t>BO011-D</t>
  </si>
  <si>
    <t>BO012-D</t>
  </si>
  <si>
    <t>BO013-D</t>
  </si>
  <si>
    <t>BO014-D</t>
  </si>
  <si>
    <t>BO015-D</t>
  </si>
  <si>
    <t>BO010-D</t>
  </si>
  <si>
    <t>DI011-D</t>
  </si>
  <si>
    <t>DI012-D</t>
  </si>
  <si>
    <t>DI013-D</t>
  </si>
  <si>
    <t>DI014-D</t>
  </si>
  <si>
    <t>DI015-D</t>
  </si>
  <si>
    <t>DI010-D</t>
  </si>
  <si>
    <t>RN011-D</t>
  </si>
  <si>
    <t>RN012-D</t>
  </si>
  <si>
    <t>RN013-D</t>
  </si>
  <si>
    <t>RN014-D</t>
  </si>
  <si>
    <t>RN015-D</t>
  </si>
  <si>
    <t>RN010-D</t>
  </si>
  <si>
    <t>RD11008</t>
  </si>
  <si>
    <t>SM002-D</t>
  </si>
  <si>
    <t>EM00015620</t>
  </si>
  <si>
    <t>EM00015604</t>
  </si>
  <si>
    <t>EM00015622</t>
  </si>
  <si>
    <t>EM00015602</t>
  </si>
  <si>
    <t>EM00016058</t>
  </si>
  <si>
    <t>EM00009353</t>
  </si>
  <si>
    <t>EM00016033</t>
  </si>
  <si>
    <t>EM00016047</t>
  </si>
  <si>
    <t>EM00016038</t>
  </si>
  <si>
    <t>EM00016042</t>
  </si>
  <si>
    <t>EM00015774</t>
  </si>
  <si>
    <t>EM00016062</t>
  </si>
  <si>
    <t>EM00016061</t>
  </si>
  <si>
    <t>EM00015618</t>
  </si>
  <si>
    <t>EM00015611</t>
  </si>
  <si>
    <t>EM00015995</t>
  </si>
  <si>
    <t>EM00015614</t>
  </si>
  <si>
    <t>EM00003569</t>
  </si>
  <si>
    <t>EM00015718</t>
  </si>
  <si>
    <t>EM00015739</t>
  </si>
  <si>
    <t>Market Code</t>
  </si>
  <si>
    <t>Market Name</t>
  </si>
  <si>
    <t>Sales Target</t>
  </si>
  <si>
    <t>PATUAKHALI SADAR-2</t>
  </si>
  <si>
    <t>BHOLA SADAR</t>
  </si>
  <si>
    <t>CHARFESSION</t>
  </si>
  <si>
    <t>JALOKHATI SADAR</t>
  </si>
  <si>
    <t>BMU–LABAID CARDIAC</t>
  </si>
  <si>
    <t>BMU NEURO ZONE</t>
  </si>
  <si>
    <t>BMU–GREEN LIFE</t>
  </si>
  <si>
    <t>BIRDEM–PANTHAPATH</t>
  </si>
  <si>
    <t>DHANMONDI MED BELT</t>
  </si>
  <si>
    <t>SHYAMOLI MED ZONE</t>
  </si>
  <si>
    <t>COLLEGE GATE ZONE</t>
  </si>
  <si>
    <t>ADABOR–SHYAMOLI</t>
  </si>
  <si>
    <t>FARMGATE–INDIRA</t>
  </si>
  <si>
    <t>MIRPUR MED HUB</t>
  </si>
  <si>
    <t>MIRPUR-11 ZONE</t>
  </si>
  <si>
    <t>AGARGAON–NINS</t>
  </si>
  <si>
    <t>HEMAYETPUR ZONE</t>
  </si>
  <si>
    <t>SAVAR–ASHULIA</t>
  </si>
  <si>
    <t>DHAMRAI BELT</t>
  </si>
  <si>
    <t>MANIKGANJ SADAR</t>
  </si>
  <si>
    <t>RAJBARI SADAR</t>
  </si>
  <si>
    <t>BHANGA</t>
  </si>
  <si>
    <t>MADARIPUR</t>
  </si>
  <si>
    <t>SHARIATPUR</t>
  </si>
  <si>
    <t>GOPALGONJ SADAR</t>
  </si>
  <si>
    <t>KALIGONJ SADAR</t>
  </si>
  <si>
    <t>KESHABPUR THC</t>
  </si>
  <si>
    <t>MAGURA SADAR-1</t>
  </si>
  <si>
    <t>MAGURA SADAR -2</t>
  </si>
  <si>
    <t>NARAIL SADAR</t>
  </si>
  <si>
    <t>JHENAIDAH SADAR</t>
  </si>
  <si>
    <t>KERANIGANJ SADAR</t>
  </si>
  <si>
    <t>NAWABGANJ UHC</t>
  </si>
  <si>
    <t>DOHAR–JOYPARA</t>
  </si>
  <si>
    <t>SIRAJDIKHAN</t>
  </si>
  <si>
    <t>SREENAGAR UHC</t>
  </si>
  <si>
    <t>KERANIGANJ-2</t>
  </si>
  <si>
    <t>BAGERHAT SADAR</t>
  </si>
  <si>
    <t>MONGLA</t>
  </si>
  <si>
    <t>PIROJPUR SADAR</t>
  </si>
  <si>
    <t>KGONJ SADAR+ITNA</t>
  </si>
  <si>
    <t>HOSSAINPUR BELT</t>
  </si>
  <si>
    <t>AUSTOGRAM ZONE</t>
  </si>
  <si>
    <t>MYMENSINGH SADAR</t>
  </si>
  <si>
    <t>DAB–MMCH</t>
  </si>
  <si>
    <t>CBMCH–SODESH</t>
  </si>
  <si>
    <t>PHULPUR</t>
  </si>
  <si>
    <t>BHALUKA</t>
  </si>
  <si>
    <t>JAMALPUR-1</t>
  </si>
  <si>
    <t>JAMALPUR-2</t>
  </si>
  <si>
    <t>BOKSHIGANJ BELT</t>
  </si>
  <si>
    <t>SHERPUR</t>
  </si>
  <si>
    <t>KHANPUR–POPULAR</t>
  </si>
  <si>
    <t>VICTORIA–LABAID</t>
  </si>
  <si>
    <t>MUNSHIGANJ BELT</t>
  </si>
  <si>
    <t>SONARGAON–BONDOR</t>
  </si>
  <si>
    <t>DEMRA–ADAMJEE</t>
  </si>
  <si>
    <t>FATULLA–PAGLA</t>
  </si>
  <si>
    <t>NARSINGDI SADAR</t>
  </si>
  <si>
    <t>GHORASHAL–PALASH</t>
  </si>
  <si>
    <t>MONOHORDI BELT</t>
  </si>
  <si>
    <t>RUPGANJ–BHULTA</t>
  </si>
  <si>
    <t>ARAIHAZAR UHC</t>
  </si>
  <si>
    <t>NIDCH–MOHAKHALI</t>
  </si>
  <si>
    <t>GULSHAN–BANANI</t>
  </si>
  <si>
    <t>BADDA MED ZONE</t>
  </si>
  <si>
    <t>GULSHAN–SHAHJAD</t>
  </si>
  <si>
    <t>KURMITOLA–BASHUN</t>
  </si>
  <si>
    <t>RAMPURA–BANASREE</t>
  </si>
  <si>
    <t>LALBAGH–KAMRANG</t>
  </si>
  <si>
    <t>HAZARIBAGH BELT</t>
  </si>
  <si>
    <t>AZIMPUR–SIDDIQ</t>
  </si>
  <si>
    <t>MITFORD–SSMCH</t>
  </si>
  <si>
    <t>JATRABARI–JURAIN</t>
  </si>
  <si>
    <t>SONIRAKHRA–ICMH</t>
  </si>
  <si>
    <t>BASHABO–MUMCH</t>
  </si>
  <si>
    <t>MALIBAGH–HFRC</t>
  </si>
  <si>
    <t>KAKRAIL–PALTAN</t>
  </si>
  <si>
    <t>MODHUPUR BELT</t>
  </si>
  <si>
    <t>GAZIPUR DAB</t>
  </si>
  <si>
    <t>MAWNA</t>
  </si>
  <si>
    <t>KAPASIA</t>
  </si>
  <si>
    <t>KONABARI BELT</t>
  </si>
  <si>
    <t>EM00016281</t>
  </si>
  <si>
    <t>EM00016282</t>
  </si>
  <si>
    <t>EM00016284</t>
  </si>
  <si>
    <t>EM00016280</t>
  </si>
  <si>
    <t>EM00016273</t>
  </si>
  <si>
    <t>EM00016287</t>
  </si>
  <si>
    <t>EM00016286</t>
  </si>
  <si>
    <t>EM00016203</t>
  </si>
  <si>
    <t>EM00016283</t>
  </si>
  <si>
    <t>EM00016274</t>
  </si>
  <si>
    <t>EM00016254</t>
  </si>
  <si>
    <t>EM00016255</t>
  </si>
  <si>
    <t>EM00016253</t>
  </si>
  <si>
    <t>EM00016256</t>
  </si>
  <si>
    <t>EM00016285</t>
  </si>
  <si>
    <t>EM00015751</t>
  </si>
  <si>
    <t>EM00016192</t>
  </si>
  <si>
    <t>EM00016291</t>
  </si>
  <si>
    <t>EM00016194</t>
  </si>
  <si>
    <t>SMIO</t>
  </si>
  <si>
    <t>CH011-D</t>
  </si>
  <si>
    <t>MIO</t>
  </si>
  <si>
    <t>CH012-D</t>
  </si>
  <si>
    <t>CH013-D</t>
  </si>
  <si>
    <t>CH014-D</t>
  </si>
  <si>
    <t>CH015-D</t>
  </si>
  <si>
    <t>CH016-D</t>
  </si>
  <si>
    <t>CH010-D</t>
  </si>
  <si>
    <t>CH021-D</t>
  </si>
  <si>
    <t>CH022-D</t>
  </si>
  <si>
    <t>CH023-D</t>
  </si>
  <si>
    <t>CH024-D</t>
  </si>
  <si>
    <t>CH025-D</t>
  </si>
  <si>
    <t>CH020-D</t>
  </si>
  <si>
    <t>CH031-D</t>
  </si>
  <si>
    <t>CH032-D</t>
  </si>
  <si>
    <t>CH033-D</t>
  </si>
  <si>
    <t>CH034-D</t>
  </si>
  <si>
    <t>CH035-D</t>
  </si>
  <si>
    <t>CH036-D</t>
  </si>
  <si>
    <t>CH037-D</t>
  </si>
  <si>
    <t>CH030-D</t>
  </si>
  <si>
    <t>CH041-D</t>
  </si>
  <si>
    <t>CH042-D</t>
  </si>
  <si>
    <t>CH043-D</t>
  </si>
  <si>
    <t>CH044-D</t>
  </si>
  <si>
    <t>CH045-D</t>
  </si>
  <si>
    <t>CH040-D</t>
  </si>
  <si>
    <t>CO011-D</t>
  </si>
  <si>
    <t>CO012-D</t>
  </si>
  <si>
    <t>CO013-D</t>
  </si>
  <si>
    <t>CO014-D</t>
  </si>
  <si>
    <t>CO015-D</t>
  </si>
  <si>
    <t>CO016-D</t>
  </si>
  <si>
    <t>CO010-D</t>
  </si>
  <si>
    <t>FE011-D</t>
  </si>
  <si>
    <t>FE012-D</t>
  </si>
  <si>
    <t>FE013-D</t>
  </si>
  <si>
    <t>FE014-D</t>
  </si>
  <si>
    <t>FE015-D</t>
  </si>
  <si>
    <t>FE010-D</t>
  </si>
  <si>
    <t>NO011-D</t>
  </si>
  <si>
    <t>NO012-D</t>
  </si>
  <si>
    <t>NO013-D</t>
  </si>
  <si>
    <t>NO014-D</t>
  </si>
  <si>
    <t>NO015-D</t>
  </si>
  <si>
    <t>NO010-D</t>
  </si>
  <si>
    <t>RD11005</t>
  </si>
  <si>
    <t>BB011-D</t>
  </si>
  <si>
    <t>BB012-D</t>
  </si>
  <si>
    <t>BB013-D</t>
  </si>
  <si>
    <t>BB014-D</t>
  </si>
  <si>
    <t>BB010-D</t>
  </si>
  <si>
    <t>CA011-D</t>
  </si>
  <si>
    <t>CA012-D</t>
  </si>
  <si>
    <t>CU014-D</t>
  </si>
  <si>
    <t>CU011-D</t>
  </si>
  <si>
    <t>CU012-D</t>
  </si>
  <si>
    <t>CU013-D</t>
  </si>
  <si>
    <t>CU010-D</t>
  </si>
  <si>
    <t>MO011-D</t>
  </si>
  <si>
    <t>MO012-D</t>
  </si>
  <si>
    <t>MO013-D</t>
  </si>
  <si>
    <t>MO014-D</t>
  </si>
  <si>
    <t>MO015-D</t>
  </si>
  <si>
    <t>MO010-D</t>
  </si>
  <si>
    <t>MO021-D</t>
  </si>
  <si>
    <t>SY011-D</t>
  </si>
  <si>
    <t>SY012-D</t>
  </si>
  <si>
    <t>SY013-D</t>
  </si>
  <si>
    <t>SY014-D</t>
  </si>
  <si>
    <t>SY010-D</t>
  </si>
  <si>
    <t>SY021-D</t>
  </si>
  <si>
    <t>SY022-D</t>
  </si>
  <si>
    <t>SY023-D</t>
  </si>
  <si>
    <t>SY024-D</t>
  </si>
  <si>
    <t>SY025-D</t>
  </si>
  <si>
    <t>SY020-D</t>
  </si>
  <si>
    <t>SY031-D</t>
  </si>
  <si>
    <t>SY032-D</t>
  </si>
  <si>
    <t>SY033-D</t>
  </si>
  <si>
    <t>SY034-D</t>
  </si>
  <si>
    <t>SY035-D</t>
  </si>
  <si>
    <t>SY030-D</t>
  </si>
  <si>
    <t>RD11004</t>
  </si>
  <si>
    <t>KU011-D</t>
  </si>
  <si>
    <t>KU012-D</t>
  </si>
  <si>
    <t>KU013-D</t>
  </si>
  <si>
    <t>PB011-D</t>
  </si>
  <si>
    <t>PB012-D</t>
  </si>
  <si>
    <t>PB013-D</t>
  </si>
  <si>
    <t>PB010-D</t>
  </si>
  <si>
    <t>RA011-D</t>
  </si>
  <si>
    <t>RA012-D</t>
  </si>
  <si>
    <t>RA013-D</t>
  </si>
  <si>
    <t>RA014-D</t>
  </si>
  <si>
    <t>RA015-D</t>
  </si>
  <si>
    <t>RA010-D</t>
  </si>
  <si>
    <t>RA021-D</t>
  </si>
  <si>
    <t>RA022-D</t>
  </si>
  <si>
    <t>RA023-D</t>
  </si>
  <si>
    <t>RA024-D</t>
  </si>
  <si>
    <t>RA025-D</t>
  </si>
  <si>
    <t>RA020-D</t>
  </si>
  <si>
    <t>RD11007</t>
  </si>
  <si>
    <t>SIO</t>
  </si>
  <si>
    <t>SSIO</t>
  </si>
  <si>
    <t>Depot Text</t>
  </si>
  <si>
    <t>Paltan Depot</t>
  </si>
  <si>
    <t>Narayanganj Depot</t>
  </si>
  <si>
    <t>Jashore Depot</t>
  </si>
  <si>
    <t>Khulna Depot</t>
  </si>
  <si>
    <t>Barishal Depot</t>
  </si>
  <si>
    <t>Faridpur Depot</t>
  </si>
  <si>
    <t>Kushtia Depot</t>
  </si>
  <si>
    <t>Keraniganj Depot</t>
  </si>
  <si>
    <t>Chattogram Depot</t>
  </si>
  <si>
    <t>Noakhali Depot</t>
  </si>
  <si>
    <t>Cox's Bazar Depot</t>
  </si>
  <si>
    <t>Chandpur Depot</t>
  </si>
  <si>
    <t>Uttara Depot</t>
  </si>
  <si>
    <t>Mymensingh Depot</t>
  </si>
  <si>
    <t>Sylhet Depot</t>
  </si>
  <si>
    <t>Cumilla Depot</t>
  </si>
  <si>
    <t>Feni Depot</t>
  </si>
  <si>
    <t>Tangail Depot</t>
  </si>
  <si>
    <t>B. Baria Depot</t>
  </si>
  <si>
    <t>Moulvibazar Depot</t>
  </si>
  <si>
    <t>Kishoreganj Depot</t>
  </si>
  <si>
    <t>Dhanmondi Depot</t>
  </si>
  <si>
    <t>Bogura Depot</t>
  </si>
  <si>
    <t>Rajshahi Depot</t>
  </si>
  <si>
    <t>Rangpur Depot</t>
  </si>
  <si>
    <t>Dinajpur Depot</t>
  </si>
  <si>
    <t>Pabna Depot</t>
  </si>
  <si>
    <t>EM00016035</t>
  </si>
  <si>
    <t>EM00015717</t>
  </si>
  <si>
    <t>EM00016049</t>
  </si>
  <si>
    <t>EM00016262</t>
  </si>
  <si>
    <t>EM00015657</t>
  </si>
  <si>
    <t>EM00016043</t>
  </si>
  <si>
    <t>EM00016063</t>
  </si>
  <si>
    <t>EM00016375</t>
  </si>
  <si>
    <t>EM00016056</t>
  </si>
  <si>
    <t>EM00016037</t>
  </si>
  <si>
    <t>EM00016034</t>
  </si>
  <si>
    <t>EM00007842</t>
  </si>
  <si>
    <t>EM00016258</t>
  </si>
  <si>
    <t>EM00016257</t>
  </si>
  <si>
    <t>EM00016377</t>
  </si>
  <si>
    <t>EM00016039</t>
  </si>
  <si>
    <t>EM00016184</t>
  </si>
  <si>
    <t>EM00016046</t>
  </si>
  <si>
    <t>EM00016279</t>
  </si>
  <si>
    <t>EM00016259</t>
  </si>
  <si>
    <t>EM00016278</t>
  </si>
  <si>
    <t>EM00016404</t>
  </si>
  <si>
    <t>EM00016271</t>
  </si>
  <si>
    <t>EM00016266</t>
  </si>
  <si>
    <t>EM00016288</t>
  </si>
  <si>
    <t>EM00016373</t>
  </si>
  <si>
    <t>EM00015764</t>
  </si>
  <si>
    <t>EM00016008</t>
  </si>
  <si>
    <t>EM00001110</t>
  </si>
  <si>
    <t>EM00015998</t>
  </si>
  <si>
    <t>EM00016272</t>
  </si>
  <si>
    <t>EM00016269</t>
  </si>
  <si>
    <t>EM00016389</t>
  </si>
  <si>
    <t>EM00016383</t>
  </si>
  <si>
    <t>EM00016275</t>
  </si>
  <si>
    <t>EM00016267</t>
  </si>
  <si>
    <t>EM00016276</t>
  </si>
  <si>
    <t>EM00016003</t>
  </si>
  <si>
    <t>EM00016268</t>
  </si>
  <si>
    <t>EM00016265</t>
  </si>
  <si>
    <t>EM00016264</t>
  </si>
  <si>
    <t>EM00016396</t>
  </si>
  <si>
    <t>EM00016263</t>
  </si>
  <si>
    <t>EM00016400</t>
  </si>
  <si>
    <t>EM00016020</t>
  </si>
  <si>
    <t>EM00016182</t>
  </si>
  <si>
    <t>EM00016012</t>
  </si>
  <si>
    <t>EM00016398</t>
  </si>
  <si>
    <t>EM00016260</t>
  </si>
  <si>
    <t>EM00016006</t>
  </si>
  <si>
    <t>EM00016007</t>
  </si>
  <si>
    <t>EM00016017</t>
  </si>
  <si>
    <t>EM00016005</t>
  </si>
  <si>
    <t>EM00016402</t>
  </si>
  <si>
    <t>EM00003990</t>
  </si>
  <si>
    <t>EM00016406</t>
  </si>
  <si>
    <t>EM00016387</t>
  </si>
  <si>
    <t>EM00016405</t>
  </si>
  <si>
    <t>EM00016410</t>
  </si>
  <si>
    <t>EM00016415</t>
  </si>
  <si>
    <t>EM00016397</t>
  </si>
  <si>
    <t>EM00016409</t>
  </si>
  <si>
    <t>EM00016424</t>
  </si>
  <si>
    <t>EM00016411</t>
  </si>
  <si>
    <t>EM00016418</t>
  </si>
  <si>
    <t>EM00016426</t>
  </si>
  <si>
    <t>CH711-D</t>
  </si>
  <si>
    <t>CH700-D</t>
  </si>
  <si>
    <t>EM00016381</t>
  </si>
  <si>
    <t>EM00016421</t>
  </si>
  <si>
    <t>EM00016407</t>
  </si>
  <si>
    <t>EM00016382</t>
  </si>
  <si>
    <t>EM00016390</t>
  </si>
  <si>
    <t>EM00016379</t>
  </si>
  <si>
    <t>EM00016386</t>
  </si>
  <si>
    <t>EM00016384</t>
  </si>
  <si>
    <t>EM00016388</t>
  </si>
  <si>
    <t>CU711-D</t>
  </si>
  <si>
    <t>CU700-D</t>
  </si>
  <si>
    <t>CH710-D</t>
  </si>
  <si>
    <t>CU710-D</t>
  </si>
  <si>
    <t>01.09.26</t>
  </si>
  <si>
    <t>30.09.26</t>
  </si>
  <si>
    <t>DH025-D</t>
  </si>
  <si>
    <t>DH042-D</t>
  </si>
  <si>
    <t>DH043-D</t>
  </si>
  <si>
    <t>DH044-D</t>
  </si>
  <si>
    <t>KI015-D</t>
  </si>
  <si>
    <t>UT025-D</t>
  </si>
  <si>
    <t>EM00016472</t>
  </si>
  <si>
    <t>DH051-D</t>
  </si>
  <si>
    <t>EM00016505</t>
  </si>
  <si>
    <t>EM00016469</t>
  </si>
  <si>
    <t>PA045-D</t>
  </si>
  <si>
    <t>KH013-D</t>
  </si>
  <si>
    <t>EM00016493</t>
  </si>
  <si>
    <t>EM00016478</t>
  </si>
  <si>
    <t>EM00016492</t>
  </si>
  <si>
    <t>EM00016503</t>
  </si>
  <si>
    <t>RN021-D</t>
  </si>
  <si>
    <t>RN022-D</t>
  </si>
  <si>
    <t>RN023-D</t>
  </si>
  <si>
    <t>RN024-D</t>
  </si>
  <si>
    <t>RN025-D</t>
  </si>
  <si>
    <t>EM00016489</t>
  </si>
  <si>
    <t>EM00016470</t>
  </si>
  <si>
    <t>NO021-D</t>
  </si>
  <si>
    <t>NO022-D</t>
  </si>
  <si>
    <t>NO023-D</t>
  </si>
  <si>
    <t>NO024-D</t>
  </si>
  <si>
    <t>NO025-D</t>
  </si>
  <si>
    <t>EM00016490</t>
  </si>
  <si>
    <t>BB015-D</t>
  </si>
  <si>
    <t>BB016-D</t>
  </si>
  <si>
    <t>CU015-D</t>
  </si>
  <si>
    <t>CU016-D</t>
  </si>
  <si>
    <t>CU021-D</t>
  </si>
  <si>
    <t>CU022-D</t>
  </si>
  <si>
    <t>CA013-D</t>
  </si>
  <si>
    <t>EM00016471</t>
  </si>
  <si>
    <t>EM00016473</t>
  </si>
  <si>
    <t>KU014-D</t>
  </si>
  <si>
    <t>KU015-D</t>
  </si>
  <si>
    <t>EM00016504</t>
  </si>
  <si>
    <t>EM00016460</t>
  </si>
  <si>
    <t>PB014-D</t>
  </si>
  <si>
    <t>PB015-D</t>
  </si>
  <si>
    <t>EM00016462</t>
  </si>
  <si>
    <t>EM00016517</t>
  </si>
  <si>
    <t>Market wise Sales Target Sep'26</t>
  </si>
  <si>
    <t>CMCH+EPIC-1</t>
  </si>
  <si>
    <t>CMCH+POPULAR+EPIC-2+PEOPLES</t>
  </si>
  <si>
    <t>RAOZAN+RANGAMATI</t>
  </si>
  <si>
    <t>CMCH+CSCR+LAB AID</t>
  </si>
  <si>
    <t>NOAPARA+KAPTAI</t>
  </si>
  <si>
    <t>HATHAZARI</t>
  </si>
  <si>
    <t>FATIKCHARI+KHAGRACHARI</t>
  </si>
  <si>
    <t>CMCH+CHEVRON+BELL VIEW</t>
  </si>
  <si>
    <t>CMCH+PARKVIEW+IBN SINA</t>
  </si>
  <si>
    <t xml:space="preserve">NAZIRHAT </t>
  </si>
  <si>
    <t>CIMCH+BOALKHALI</t>
  </si>
  <si>
    <t>CMOSGH</t>
  </si>
  <si>
    <t>SKIN HOSPITAL</t>
  </si>
  <si>
    <t>BANDARTILA</t>
  </si>
  <si>
    <t>JAMALKHAN</t>
  </si>
  <si>
    <t>NATIONAL HOSPITAL/MEDICAL CENTER</t>
  </si>
  <si>
    <t>O R NIZAM ROAD</t>
  </si>
  <si>
    <t>SITAKUNDA+SANDIP</t>
  </si>
  <si>
    <t>KERANIHAT+BANDARBAN</t>
  </si>
  <si>
    <t>KERANIHAT+DOHAZARI+SATKANIA</t>
  </si>
  <si>
    <t>PATIYA</t>
  </si>
  <si>
    <t>ANOWARA</t>
  </si>
  <si>
    <t>BASHKHALI</t>
  </si>
  <si>
    <t>Hazari Lane WH</t>
  </si>
  <si>
    <t>COXMCH+ RAMU</t>
  </si>
  <si>
    <t>COXMCH+ MOHESKHALI</t>
  </si>
  <si>
    <t>COXMCH+ EIDGAH</t>
  </si>
  <si>
    <t>UKHIYA + TEKNAF</t>
  </si>
  <si>
    <t>CHAKORIA</t>
  </si>
  <si>
    <t>AMIRABAD</t>
  </si>
  <si>
    <t>FENI SADAR HOSPITAL</t>
  </si>
  <si>
    <t>FENI+FULLGAZI</t>
  </si>
  <si>
    <t>FENI+S S K ROAD</t>
  </si>
  <si>
    <t>DAGONBHUYIAN</t>
  </si>
  <si>
    <t>BAROIYARHAT</t>
  </si>
  <si>
    <t xml:space="preserve">MAIJDEE-B +PRIME HOSPITAL </t>
  </si>
  <si>
    <t>MAIJDEE-A+SADAR HOSPITAL + NMC</t>
  </si>
  <si>
    <t>CHOWMOHONI + SENBAG</t>
  </si>
  <si>
    <t>MAIJDEE-C+SADAR HOSPITAL+BASHURHAT</t>
  </si>
  <si>
    <t>SONAIMURI+AMISHAPARA</t>
  </si>
  <si>
    <t>LAXMIPUR-A+SADAR HOSPITAL</t>
  </si>
  <si>
    <t>LAXMIPUR-B+DIABETIC HOSPITAL</t>
  </si>
  <si>
    <t>HAJIRHAT+RAMGOTI</t>
  </si>
  <si>
    <t>RAMGONJ</t>
  </si>
  <si>
    <t>CHATKHIL</t>
  </si>
  <si>
    <t>SHSMCH+MD.PUR</t>
  </si>
  <si>
    <t>MIRPUR 10</t>
  </si>
  <si>
    <t>Mirpur 2+Kidney</t>
  </si>
  <si>
    <t>Zila Hosp+Madhobdi</t>
  </si>
  <si>
    <t>DMCH Core</t>
  </si>
  <si>
    <t>DNMCH-POSTOGOLA-DOYAGONJ</t>
  </si>
  <si>
    <t>SSMCH -ENGLISH ROAD-WARI</t>
  </si>
  <si>
    <t>MUGDA–MANIKNAGAR</t>
  </si>
  <si>
    <t>MUMCH-MALIBAGH</t>
  </si>
  <si>
    <t>SBMCH-RESPIRATORY+NEURO+MEDICINE+ISLAMI BANK+RUPATOLI</t>
  </si>
  <si>
    <t>SBMCH+SKIN OPD+GYNE+POPULAR D/C+APPOLO D/C</t>
  </si>
  <si>
    <t>PATUAKHALI  SADAR-1</t>
  </si>
  <si>
    <t>BARGUNA SADAR HOSPITAL</t>
  </si>
  <si>
    <t xml:space="preserve">MATHBARIA &amp; PATHORGHATA </t>
  </si>
  <si>
    <t>SBMCH-PSYCHI+CARDIO+BELVIEW+MEDINOVA+BATERGOLI</t>
  </si>
  <si>
    <t>BARSAL SADAR HOSPITAL+TB HOSPITAL+LABAID+MEGHA D/C</t>
  </si>
  <si>
    <t>FMCH-RESPIRATOY+NEURO+MEDICINE</t>
  </si>
  <si>
    <t>SADAR HOSPITAL+MUJIB SAROK</t>
  </si>
  <si>
    <t>JMCH-CARDIO+PSYCHI+QUEENS HOSPITAL+LABAID</t>
  </si>
  <si>
    <t>JMCH-NEURO+RESPIRATORY+IBNASINA+DARATONA HOSPITAL+INFRONT OF JMCH</t>
  </si>
  <si>
    <t>JMCH-SKIN+GYNE+LABSCAN+NOVA D/C+JHARNA HOSPIAL</t>
  </si>
  <si>
    <t>SATKHIRA SADAR HOSP+CB HOSPITAL</t>
  </si>
  <si>
    <t>SMCH+SANGRAM HOSPITAL</t>
  </si>
  <si>
    <t>KMCH &amp; AD-DIN-SKIN+PSYCHI+MED+CARDIO+BOIRA</t>
  </si>
  <si>
    <t>SADAR HOSPITAL+ISLAMI BANK+SANDHANI CLINIC</t>
  </si>
  <si>
    <t>KCMCH+POPULAR+DOCTORS POINT</t>
  </si>
  <si>
    <t>KHULNA SPECIALIZED HOSPITAL+DAULATPUR+KHALISPUR</t>
  </si>
  <si>
    <t>NAOGAON SADAR HUB-1</t>
  </si>
  <si>
    <t>NAOGAON SADAR HUB-2</t>
  </si>
  <si>
    <t>MOHADEVPUR–NAZIPUR</t>
  </si>
  <si>
    <t>JOYPURHAT MED HUB</t>
  </si>
  <si>
    <t>SHAPAHAR–DHAMURHAT</t>
  </si>
  <si>
    <t>CHUADANGA CLUSTER</t>
  </si>
  <si>
    <t>KUSHTIA SADAR</t>
  </si>
  <si>
    <t>MEHERPUR CLUSTER</t>
  </si>
  <si>
    <t>KUMCH + SONO-1,2</t>
  </si>
  <si>
    <t>KUMCH + BHERAMARA + DALUTPUR</t>
  </si>
  <si>
    <t>PMCH–SHIMLA CLUSTER</t>
  </si>
  <si>
    <t>ISHWARDI CLUSTER</t>
  </si>
  <si>
    <t>KASHINATHPUR CLUSTER</t>
  </si>
  <si>
    <t>PMCH+ KIMIA+ATGORIA+CHATMOHAR</t>
  </si>
  <si>
    <t>SHAHJADPUR+ ENAYETPUR+KYAMCH</t>
  </si>
  <si>
    <t>RMCH–POPULAR</t>
  </si>
  <si>
    <t>RMCH–IBH</t>
  </si>
  <si>
    <t>MANDA–TANORE</t>
  </si>
  <si>
    <t>CHAPAI–SHIBGANJ</t>
  </si>
  <si>
    <t>CHAPAI–ROHANPUR</t>
  </si>
  <si>
    <t>RMCH–POPULAR EAST</t>
  </si>
  <si>
    <t>IBMCH–TB CLUSTER</t>
  </si>
  <si>
    <t>BMCH–IBN SINA</t>
  </si>
  <si>
    <t>NATORE–BARAIGRAM</t>
  </si>
  <si>
    <t>RMCH–NOWDAPARA</t>
  </si>
  <si>
    <t>BOGURA MED CLUSTER-1</t>
  </si>
  <si>
    <t>BOGURA MED CLUSTER-2</t>
  </si>
  <si>
    <t>TMSS–MATIDALI HUB</t>
  </si>
  <si>
    <t>SHZMCH+TB</t>
  </si>
  <si>
    <t>SHIBGONJ–GOBINDAGONJ</t>
  </si>
  <si>
    <t>MANSUR ALI MED HUB</t>
  </si>
  <si>
    <t>NBMC–SIRAJGANJ EXT</t>
  </si>
  <si>
    <t>DIMCH–ZIA CARDIAC</t>
  </si>
  <si>
    <t>DJMCH–SADAR LABAID</t>
  </si>
  <si>
    <t>BIRAMPUR–FULBARI</t>
  </si>
  <si>
    <t>THAKURGAON SADAR-1</t>
  </si>
  <si>
    <t>PANCHAGARH SADAR HUB</t>
  </si>
  <si>
    <t>RPMCH–DCMCH CLUSTER</t>
  </si>
  <si>
    <t>RPMCH–POPULAR D/C</t>
  </si>
  <si>
    <t xml:space="preserve">LALMONIRHAT </t>
  </si>
  <si>
    <t>NILPHAMARI + DOMAR</t>
  </si>
  <si>
    <t xml:space="preserve">RPMCH+SAIDPUR </t>
  </si>
  <si>
    <t xml:space="preserve">RPMCH + TB HOSPITAL </t>
  </si>
  <si>
    <t xml:space="preserve">GAIBANDA </t>
  </si>
  <si>
    <t xml:space="preserve">KURIGRAM </t>
  </si>
  <si>
    <t xml:space="preserve">MITHAPUKUR + POLASHBARI +PIRGONJ </t>
  </si>
  <si>
    <t xml:space="preserve">RPMCH + PIRGASA </t>
  </si>
  <si>
    <t>B.BARIA-1</t>
  </si>
  <si>
    <t>B.BARIA-2</t>
  </si>
  <si>
    <t>BHAIRAB</t>
  </si>
  <si>
    <t>MADHABPUR</t>
  </si>
  <si>
    <t xml:space="preserve">KASHBA + ASHUGONJ +NASIRNAGAR </t>
  </si>
  <si>
    <t>B.BARIA -3 + AKHARUA</t>
  </si>
  <si>
    <t>GOURIPUR + DAUDKANDI + + MURADNAGAR</t>
  </si>
  <si>
    <t>MyMCH + TOWER + DEBIDWAR</t>
  </si>
  <si>
    <t xml:space="preserve">RESCOURCE+B. PARA+ CANTONMENT </t>
  </si>
  <si>
    <t>TOWER + SADAR + CHANDINA</t>
  </si>
  <si>
    <t>POPULAR + CHODDAGRAM + SUAGAZI</t>
  </si>
  <si>
    <t>HOMNA + MEGHNA + TITAS + BANCHARAMPUR</t>
  </si>
  <si>
    <t>CHANDPUR + MATLAB</t>
  </si>
  <si>
    <t>CHANDPUR + FARIDGONJ + RAIPUR</t>
  </si>
  <si>
    <t xml:space="preserve">HAZIGONJ + KACHUA + SHAHRASTI </t>
  </si>
  <si>
    <t>CuMCH+BARURA+LAKSAM</t>
  </si>
  <si>
    <t>CuMCH + CenMCH + NANGOLKOT</t>
  </si>
  <si>
    <t>Cumilla-Wholesale</t>
  </si>
  <si>
    <t>MOULAVIBAZAR-1</t>
  </si>
  <si>
    <t>MOULAVIBAZAR-2</t>
  </si>
  <si>
    <t>HABIGONJ-1</t>
  </si>
  <si>
    <t>HABIGONJ-2</t>
  </si>
  <si>
    <t>NABIGONJ</t>
  </si>
  <si>
    <t>KULAURA + JURRI + BARALEKHA</t>
  </si>
  <si>
    <t>SOMCH + POPULAR + LABAID + MEDINOVA</t>
  </si>
  <si>
    <t>SOMCH + IBN SINA + LABAID + TRUST</t>
  </si>
  <si>
    <t xml:space="preserve">SOMCH+ POPULAR + TRUST </t>
  </si>
  <si>
    <t>BEANIBAZAR + ZAKIGONJ</t>
  </si>
  <si>
    <t>JRRMCH+AMBARKHANA + MOUNT ADORA + COMPANYGONJ</t>
  </si>
  <si>
    <t>JRRMCH+MOUNT ADORA + GOBINDOGONJ + KAITOK</t>
  </si>
  <si>
    <t>SWMCH+CHHATAK + DOARA</t>
  </si>
  <si>
    <t>SUNAMGONJ-1</t>
  </si>
  <si>
    <t>SUNAMGONJ-2</t>
  </si>
  <si>
    <t>NEMCH+FENCHUGONJ</t>
  </si>
  <si>
    <t xml:space="preserve">PVMCH+ IBN SINA + STADIUM </t>
  </si>
  <si>
    <t>IBN SINA+HORIPUR</t>
  </si>
  <si>
    <t>GOALABAZAR+BISWANATH</t>
  </si>
  <si>
    <t>KANAIGHAT + GOWAINGHAT + JOINTAPUR</t>
  </si>
  <si>
    <t>NETROKONA+MOHONGONJ</t>
  </si>
  <si>
    <t>NETROKONA+KENDUA+MODON</t>
  </si>
  <si>
    <t>TMCH+KALIHATI</t>
  </si>
  <si>
    <t>SADAR HOSPITAL+SAKHIPUR</t>
  </si>
  <si>
    <t>MIRZAPUR+KALIAKAIR</t>
  </si>
  <si>
    <t>TMCH+DELDUAR</t>
  </si>
  <si>
    <t>WMCH+KHILKHET</t>
  </si>
  <si>
    <t>KFH+POPULAR</t>
  </si>
  <si>
    <t>UAMCH+AZAMPUR</t>
  </si>
  <si>
    <t>SMAMCH+EAST WEST</t>
  </si>
  <si>
    <t>TONGI+KALIGONJ</t>
  </si>
  <si>
    <t>IMCH+TMMCH</t>
  </si>
  <si>
    <t>Region wise Sales Target Sep'26</t>
  </si>
  <si>
    <t>Region Code</t>
  </si>
  <si>
    <t>Region Name</t>
  </si>
  <si>
    <t>Dhaka-1</t>
  </si>
  <si>
    <t>Dhaka-2</t>
  </si>
  <si>
    <t>Uttara</t>
  </si>
  <si>
    <t>Sylhet</t>
  </si>
  <si>
    <t>Chattogram</t>
  </si>
  <si>
    <t>Khulna</t>
  </si>
  <si>
    <t>Rajshahi</t>
  </si>
  <si>
    <t>Rangpur</t>
  </si>
  <si>
    <t>DH040-D</t>
  </si>
  <si>
    <t>EM00013925</t>
  </si>
  <si>
    <t>RN020-D</t>
  </si>
  <si>
    <t>NO020-D</t>
  </si>
  <si>
    <t>CU020-D</t>
  </si>
  <si>
    <t>KU010-D</t>
  </si>
  <si>
    <t>EM00016520</t>
  </si>
  <si>
    <t>Vacant</t>
  </si>
  <si>
    <t>CheckID</t>
  </si>
  <si>
    <t>CheckTerr</t>
  </si>
  <si>
    <t>Supervisor</t>
  </si>
  <si>
    <t>EM00016516</t>
  </si>
  <si>
    <t>EM00016566</t>
  </si>
  <si>
    <t>EM00016466</t>
  </si>
  <si>
    <t>EM00016467</t>
  </si>
  <si>
    <t>EM00016464</t>
  </si>
  <si>
    <t>EM00016463</t>
  </si>
  <si>
    <t>EM00016508</t>
  </si>
  <si>
    <t>EM00016485</t>
  </si>
  <si>
    <t>EM00016465</t>
  </si>
  <si>
    <t>EM00016486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</si>
</sst>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.mm\.yyyy"/>
    <numFmt numFmtId="165" formatCode="_(* #,##0_);_(* \(#,##0\);_(* &quot;-&quot;??_);_(@_)"/>
    <numFmt numFmtId="166" formatCode="General_)"/>
    <numFmt numFmtId="167" formatCode="_-* #,##0_-;\-* #,##0_-;_-* &quot;-&quot;??_-;_-@_-"/>
  </numFmts>
  <fonts count="5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Times New Roman"/>
      <family val="1"/>
    </font>
    <font>
      <sz val="11"/>
      <color indexed="8"/>
      <name val="Calibri"/>
      <family val="2"/>
    </font>
    <font>
      <sz val="10"/>
      <color theme="1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ambria"/>
      <family val="2"/>
    </font>
    <font>
      <sz val="11"/>
      <color indexed="9"/>
      <name val="Cambria"/>
      <family val="2"/>
    </font>
    <font>
      <b/>
      <sz val="11"/>
      <color indexed="9"/>
      <name val="Cambria"/>
      <family val="2"/>
    </font>
    <font>
      <i/>
      <sz val="11"/>
      <color indexed="23"/>
      <name val="Cambria"/>
      <family val="2"/>
    </font>
    <font>
      <b/>
      <sz val="11"/>
      <color indexed="8"/>
      <name val="Cambria"/>
      <family val="2"/>
    </font>
    <font>
      <sz val="11"/>
      <color indexed="10"/>
      <name val="Cambria"/>
      <family val="2"/>
    </font>
    <font>
      <sz val="11"/>
      <color rgb="FF9C0006"/>
      <name val="Cambria"/>
      <family val="2"/>
    </font>
    <font>
      <b/>
      <sz val="11"/>
      <color rgb="FFFA7D00"/>
      <name val="Cambria"/>
      <family val="2"/>
    </font>
    <font>
      <sz val="11"/>
      <color rgb="FF006100"/>
      <name val="Cambria"/>
      <family val="2"/>
    </font>
    <font>
      <b/>
      <sz val="15"/>
      <color rgb="FF1F4A7E"/>
      <name val="Cambria"/>
      <family val="2"/>
    </font>
    <font>
      <b/>
      <sz val="13"/>
      <color rgb="FF1F4A7E"/>
      <name val="Cambria"/>
      <family val="2"/>
    </font>
    <font>
      <b/>
      <sz val="11"/>
      <color rgb="FF1F4A7E"/>
      <name val="Cambria"/>
      <family val="2"/>
    </font>
    <font>
      <sz val="11"/>
      <color rgb="FF3F3F76"/>
      <name val="Cambria"/>
      <family val="2"/>
    </font>
    <font>
      <sz val="11"/>
      <color rgb="FFFA7D00"/>
      <name val="Cambria"/>
      <family val="2"/>
    </font>
    <font>
      <sz val="11"/>
      <color rgb="FF9C6500"/>
      <name val="Cambria"/>
      <family val="2"/>
    </font>
    <font>
      <b/>
      <sz val="11"/>
      <color rgb="FF3F3F3F"/>
      <name val="Cambria"/>
      <family val="2"/>
    </font>
    <font>
      <b/>
      <sz val="18"/>
      <color rgb="FF1F4A7E"/>
      <name val="Cambria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Times New Roman"/>
      <family val="1"/>
    </font>
    <font>
      <b/>
      <sz val="9"/>
      <color theme="1"/>
      <name val="Times New Roman"/>
      <family val="1"/>
    </font>
    <font>
      <sz val="10"/>
      <color indexed="8"/>
      <name val="MS Sans Serif"/>
      <family val="2"/>
    </font>
    <font>
      <sz val="10"/>
      <name val="Arial"/>
      <family val="2"/>
    </font>
    <font>
      <b/>
      <sz val="9"/>
      <name val="Times New Roman"/>
      <family val="1"/>
    </font>
    <font>
      <b/>
      <sz val="9"/>
      <color rgb="FF7030A0"/>
      <name val="Times New Roman"/>
      <family val="1"/>
    </font>
    <font>
      <b/>
      <sz val="9"/>
      <color theme="5"/>
      <name val="Times New Roman"/>
      <family val="1"/>
    </font>
    <font>
      <sz val="9"/>
      <name val="Times New Roman"/>
      <family val="1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9"/>
      <name val="Calibri"/>
      <family val="2"/>
      <scheme val="minor"/>
    </font>
  </fonts>
  <fills count="8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DCE5F1"/>
      </patternFill>
    </fill>
    <fill>
      <patternFill patternType="solid">
        <fgColor rgb="FFF2DCDB"/>
      </patternFill>
    </fill>
    <fill>
      <patternFill patternType="solid">
        <fgColor rgb="FFEAF1DD"/>
      </patternFill>
    </fill>
    <fill>
      <patternFill patternType="solid">
        <fgColor rgb="FFE5DFEC"/>
      </patternFill>
    </fill>
    <fill>
      <patternFill patternType="solid">
        <fgColor rgb="FFDBEEF3"/>
      </patternFill>
    </fill>
    <fill>
      <patternFill patternType="solid">
        <fgColor rgb="FFFDE9D9"/>
      </patternFill>
    </fill>
    <fill>
      <patternFill patternType="solid">
        <fgColor rgb="FFB9CCE4"/>
      </patternFill>
    </fill>
    <fill>
      <patternFill patternType="solid">
        <fgColor rgb="FFE6B9B8"/>
      </patternFill>
    </fill>
    <fill>
      <patternFill patternType="solid">
        <fgColor rgb="FFD6E3BC"/>
      </patternFill>
    </fill>
    <fill>
      <patternFill patternType="solid">
        <fgColor rgb="FFCBC0D9"/>
      </patternFill>
    </fill>
    <fill>
      <patternFill patternType="solid">
        <fgColor rgb="FFB7DDE8"/>
      </patternFill>
    </fill>
    <fill>
      <patternFill patternType="solid">
        <fgColor rgb="FFFBD4B4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2D69B"/>
      </patternFill>
    </fill>
    <fill>
      <patternFill patternType="solid">
        <fgColor rgb="FFB2A1C6"/>
      </patternFill>
    </fill>
    <fill>
      <patternFill patternType="solid">
        <fgColor rgb="FF94CDDD"/>
      </patternFill>
    </fill>
    <fill>
      <patternFill patternType="solid">
        <fgColor rgb="FFFABF8F"/>
      </patternFill>
    </fill>
    <fill>
      <patternFill patternType="solid">
        <fgColor rgb="FF5181BD"/>
      </patternFill>
    </fill>
    <fill>
      <patternFill patternType="solid">
        <fgColor rgb="FFC0514D"/>
      </patternFill>
    </fill>
    <fill>
      <patternFill patternType="solid">
        <fgColor rgb="FF9ABA58"/>
      </patternFill>
    </fill>
    <fill>
      <patternFill patternType="solid">
        <fgColor rgb="FF7E62A1"/>
      </patternFill>
    </fill>
    <fill>
      <patternFill patternType="solid">
        <fgColor rgb="FF4CACC6"/>
      </patternFill>
    </fill>
    <fill>
      <patternFill patternType="solid">
        <fgColor rgb="FFF7954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C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505">
    <xf numFmtId="0" fontId="0" fillId="0" borderId="0"/>
    <xf numFmtId="0" fontId="2" fillId="0" borderId="0"/>
    <xf numFmtId="43" fontId="4" fillId="0" borderId="0" applyFont="0" applyFill="0" applyBorder="0" applyAlignment="0" applyProtection="0"/>
    <xf numFmtId="0" fontId="2" fillId="0" borderId="0"/>
    <xf numFmtId="0" fontId="2" fillId="0" borderId="0"/>
    <xf numFmtId="0" fontId="6" fillId="0" borderId="0">
      <alignment vertical="center"/>
    </xf>
    <xf numFmtId="0" fontId="2" fillId="0" borderId="0"/>
    <xf numFmtId="0" fontId="2" fillId="14" borderId="25" applyNumberFormat="0" applyFont="0" applyAlignment="0" applyProtection="0"/>
    <xf numFmtId="0" fontId="4" fillId="10" borderId="0" applyNumberFormat="0" applyBorder="0" applyAlignment="0" applyProtection="0"/>
    <xf numFmtId="0" fontId="24" fillId="31" borderId="0" applyNumberFormat="0" applyBorder="0" applyAlignment="0" applyProtection="0"/>
    <xf numFmtId="0" fontId="4" fillId="11" borderId="0" applyNumberFormat="0" applyBorder="0" applyAlignment="0" applyProtection="0"/>
    <xf numFmtId="0" fontId="24" fillId="32" borderId="0" applyNumberFormat="0" applyBorder="0" applyAlignment="0" applyProtection="0"/>
    <xf numFmtId="0" fontId="4" fillId="13" borderId="0" applyNumberFormat="0" applyBorder="0" applyAlignment="0" applyProtection="0"/>
    <xf numFmtId="0" fontId="24" fillId="33" borderId="0" applyNumberFormat="0" applyBorder="0" applyAlignment="0" applyProtection="0"/>
    <xf numFmtId="0" fontId="4" fillId="15" borderId="0" applyNumberFormat="0" applyBorder="0" applyAlignment="0" applyProtection="0"/>
    <xf numFmtId="0" fontId="24" fillId="34" borderId="0" applyNumberFormat="0" applyBorder="0" applyAlignment="0" applyProtection="0"/>
    <xf numFmtId="0" fontId="4" fillId="16" borderId="0" applyNumberFormat="0" applyBorder="0" applyAlignment="0" applyProtection="0"/>
    <xf numFmtId="0" fontId="24" fillId="35" borderId="0" applyNumberFormat="0" applyBorder="0" applyAlignment="0" applyProtection="0"/>
    <xf numFmtId="0" fontId="4" fillId="17" borderId="0" applyNumberFormat="0" applyBorder="0" applyAlignment="0" applyProtection="0"/>
    <xf numFmtId="0" fontId="24" fillId="36" borderId="0" applyNumberFormat="0" applyBorder="0" applyAlignment="0" applyProtection="0"/>
    <xf numFmtId="0" fontId="4" fillId="18" borderId="0" applyNumberFormat="0" applyBorder="0" applyAlignment="0" applyProtection="0"/>
    <xf numFmtId="0" fontId="24" fillId="37" borderId="0" applyNumberFormat="0" applyBorder="0" applyAlignment="0" applyProtection="0"/>
    <xf numFmtId="0" fontId="4" fillId="12" borderId="0" applyNumberFormat="0" applyBorder="0" applyAlignment="0" applyProtection="0"/>
    <xf numFmtId="0" fontId="24" fillId="38" borderId="0" applyNumberFormat="0" applyBorder="0" applyAlignment="0" applyProtection="0"/>
    <xf numFmtId="0" fontId="4" fillId="19" borderId="0" applyNumberFormat="0" applyBorder="0" applyAlignment="0" applyProtection="0"/>
    <xf numFmtId="0" fontId="24" fillId="39" borderId="0" applyNumberFormat="0" applyBorder="0" applyAlignment="0" applyProtection="0"/>
    <xf numFmtId="0" fontId="4" fillId="15" borderId="0" applyNumberFormat="0" applyBorder="0" applyAlignment="0" applyProtection="0"/>
    <xf numFmtId="0" fontId="24" fillId="40" borderId="0" applyNumberFormat="0" applyBorder="0" applyAlignment="0" applyProtection="0"/>
    <xf numFmtId="0" fontId="4" fillId="18" borderId="0" applyNumberFormat="0" applyBorder="0" applyAlignment="0" applyProtection="0"/>
    <xf numFmtId="0" fontId="24" fillId="41" borderId="0" applyNumberFormat="0" applyBorder="0" applyAlignment="0" applyProtection="0"/>
    <xf numFmtId="0" fontId="4" fillId="21" borderId="0" applyNumberFormat="0" applyBorder="0" applyAlignment="0" applyProtection="0"/>
    <xf numFmtId="0" fontId="24" fillId="42" borderId="0" applyNumberFormat="0" applyBorder="0" applyAlignment="0" applyProtection="0"/>
    <xf numFmtId="0" fontId="8" fillId="22" borderId="0" applyNumberFormat="0" applyBorder="0" applyAlignment="0" applyProtection="0"/>
    <xf numFmtId="0" fontId="25" fillId="43" borderId="0" applyNumberFormat="0" applyBorder="0" applyAlignment="0" applyProtection="0"/>
    <xf numFmtId="0" fontId="8" fillId="12" borderId="0" applyNumberFormat="0" applyBorder="0" applyAlignment="0" applyProtection="0"/>
    <xf numFmtId="0" fontId="25" fillId="44" borderId="0" applyNumberFormat="0" applyBorder="0" applyAlignment="0" applyProtection="0"/>
    <xf numFmtId="0" fontId="8" fillId="19" borderId="0" applyNumberFormat="0" applyBorder="0" applyAlignment="0" applyProtection="0"/>
    <xf numFmtId="0" fontId="25" fillId="45" borderId="0" applyNumberFormat="0" applyBorder="0" applyAlignment="0" applyProtection="0"/>
    <xf numFmtId="0" fontId="8" fillId="24" borderId="0" applyNumberFormat="0" applyBorder="0" applyAlignment="0" applyProtection="0"/>
    <xf numFmtId="0" fontId="25" fillId="46" borderId="0" applyNumberFormat="0" applyBorder="0" applyAlignment="0" applyProtection="0"/>
    <xf numFmtId="0" fontId="8" fillId="23" borderId="0" applyNumberFormat="0" applyBorder="0" applyAlignment="0" applyProtection="0"/>
    <xf numFmtId="0" fontId="25" fillId="47" borderId="0" applyNumberFormat="0" applyBorder="0" applyAlignment="0" applyProtection="0"/>
    <xf numFmtId="0" fontId="8" fillId="25" borderId="0" applyNumberFormat="0" applyBorder="0" applyAlignment="0" applyProtection="0"/>
    <xf numFmtId="0" fontId="25" fillId="48" borderId="0" applyNumberFormat="0" applyBorder="0" applyAlignment="0" applyProtection="0"/>
    <xf numFmtId="0" fontId="8" fillId="26" borderId="0" applyNumberFormat="0" applyBorder="0" applyAlignment="0" applyProtection="0"/>
    <xf numFmtId="0" fontId="25" fillId="49" borderId="0" applyNumberFormat="0" applyBorder="0" applyAlignment="0" applyProtection="0"/>
    <xf numFmtId="0" fontId="8" fillId="27" borderId="0" applyNumberFormat="0" applyBorder="0" applyAlignment="0" applyProtection="0"/>
    <xf numFmtId="0" fontId="25" fillId="50" borderId="0" applyNumberFormat="0" applyBorder="0" applyAlignment="0" applyProtection="0"/>
    <xf numFmtId="0" fontId="8" fillId="28" borderId="0" applyNumberFormat="0" applyBorder="0" applyAlignment="0" applyProtection="0"/>
    <xf numFmtId="0" fontId="25" fillId="51" borderId="0" applyNumberFormat="0" applyBorder="0" applyAlignment="0" applyProtection="0"/>
    <xf numFmtId="0" fontId="8" fillId="24" borderId="0" applyNumberFormat="0" applyBorder="0" applyAlignment="0" applyProtection="0"/>
    <xf numFmtId="0" fontId="25" fillId="52" borderId="0" applyNumberFormat="0" applyBorder="0" applyAlignment="0" applyProtection="0"/>
    <xf numFmtId="0" fontId="8" fillId="23" borderId="0" applyNumberFormat="0" applyBorder="0" applyAlignment="0" applyProtection="0"/>
    <xf numFmtId="0" fontId="25" fillId="53" borderId="0" applyNumberFormat="0" applyBorder="0" applyAlignment="0" applyProtection="0"/>
    <xf numFmtId="0" fontId="8" fillId="29" borderId="0" applyNumberFormat="0" applyBorder="0" applyAlignment="0" applyProtection="0"/>
    <xf numFmtId="0" fontId="25" fillId="54" borderId="0" applyNumberFormat="0" applyBorder="0" applyAlignment="0" applyProtection="0"/>
    <xf numFmtId="0" fontId="9" fillId="11" borderId="0" applyNumberFormat="0" applyBorder="0" applyAlignment="0" applyProtection="0"/>
    <xf numFmtId="0" fontId="30" fillId="4" borderId="0" applyNumberFormat="0" applyBorder="0" applyAlignment="0" applyProtection="0"/>
    <xf numFmtId="0" fontId="10" fillId="17" borderId="8" applyNumberFormat="0" applyAlignment="0" applyProtection="0"/>
    <xf numFmtId="0" fontId="31" fillId="7" borderId="3" applyNumberFormat="0" applyAlignment="0" applyProtection="0"/>
    <xf numFmtId="0" fontId="11" fillId="30" borderId="9" applyNumberFormat="0" applyAlignment="0" applyProtection="0"/>
    <xf numFmtId="0" fontId="26" fillId="8" borderId="6" applyNumberFormat="0" applyAlignment="0" applyProtection="0"/>
    <xf numFmtId="0" fontId="1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32" fillId="3" borderId="0" applyNumberFormat="0" applyBorder="0" applyAlignment="0" applyProtection="0"/>
    <xf numFmtId="0" fontId="14" fillId="0" borderId="10" applyNumberFormat="0" applyFill="0" applyAlignment="0" applyProtection="0"/>
    <xf numFmtId="0" fontId="33" fillId="0" borderId="17" applyNumberFormat="0" applyFill="0" applyAlignment="0" applyProtection="0"/>
    <xf numFmtId="0" fontId="15" fillId="0" borderId="11" applyNumberFormat="0" applyFill="0" applyAlignment="0" applyProtection="0"/>
    <xf numFmtId="0" fontId="34" fillId="0" borderId="18" applyNumberFormat="0" applyFill="0" applyAlignment="0" applyProtection="0"/>
    <xf numFmtId="0" fontId="16" fillId="0" borderId="12" applyNumberFormat="0" applyFill="0" applyAlignment="0" applyProtection="0"/>
    <xf numFmtId="0" fontId="35" fillId="0" borderId="19" applyNumberFormat="0" applyFill="0" applyAlignment="0" applyProtection="0"/>
    <xf numFmtId="0" fontId="1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7" fillId="17" borderId="8" applyNumberFormat="0" applyAlignment="0" applyProtection="0"/>
    <xf numFmtId="0" fontId="36" fillId="6" borderId="3" applyNumberFormat="0" applyAlignment="0" applyProtection="0"/>
    <xf numFmtId="0" fontId="18" fillId="0" borderId="13" applyNumberFormat="0" applyFill="0" applyAlignment="0" applyProtection="0"/>
    <xf numFmtId="0" fontId="37" fillId="0" borderId="5" applyNumberFormat="0" applyFill="0" applyAlignment="0" applyProtection="0"/>
    <xf numFmtId="0" fontId="19" fillId="20" borderId="0" applyNumberFormat="0" applyBorder="0" applyAlignment="0" applyProtection="0"/>
    <xf numFmtId="0" fontId="38" fillId="5" borderId="0" applyNumberFormat="0" applyBorder="0" applyAlignment="0" applyProtection="0"/>
    <xf numFmtId="0" fontId="7" fillId="0" borderId="0"/>
    <xf numFmtId="0" fontId="2" fillId="14" borderId="14" applyNumberFormat="0" applyFont="0" applyAlignment="0" applyProtection="0"/>
    <xf numFmtId="0" fontId="2" fillId="9" borderId="7" applyNumberFormat="0" applyFont="0" applyAlignment="0" applyProtection="0"/>
    <xf numFmtId="0" fontId="20" fillId="17" borderId="15" applyNumberFormat="0" applyAlignment="0" applyProtection="0"/>
    <xf numFmtId="0" fontId="39" fillId="7" borderId="4" applyNumberFormat="0" applyAlignment="0" applyProtection="0"/>
    <xf numFmtId="0" fontId="2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2" fillId="0" borderId="16" applyNumberFormat="0" applyFill="0" applyAlignment="0" applyProtection="0"/>
    <xf numFmtId="0" fontId="28" fillId="0" borderId="20" applyNumberFormat="0" applyFill="0" applyAlignment="0" applyProtection="0"/>
    <xf numFmtId="0" fontId="2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41" fontId="2" fillId="0" borderId="0" applyFont="0" applyFill="0" applyBorder="0" applyAlignment="0" applyProtection="0"/>
    <xf numFmtId="0" fontId="17" fillId="17" borderId="24" applyNumberFormat="0" applyAlignment="0" applyProtection="0"/>
    <xf numFmtId="0" fontId="10" fillId="17" borderId="24" applyNumberFormat="0" applyAlignment="0" applyProtection="0"/>
    <xf numFmtId="0" fontId="22" fillId="0" borderId="22" applyNumberFormat="0" applyFill="0" applyAlignment="0" applyProtection="0"/>
    <xf numFmtId="0" fontId="20" fillId="17" borderId="21" applyNumberFormat="0" applyAlignment="0" applyProtection="0"/>
    <xf numFmtId="41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7" fillId="0" borderId="0"/>
    <xf numFmtId="0" fontId="41" fillId="0" borderId="0"/>
    <xf numFmtId="0" fontId="10" fillId="17" borderId="24" applyNumberFormat="0" applyAlignment="0" applyProtection="0"/>
    <xf numFmtId="0" fontId="17" fillId="17" borderId="24" applyNumberFormat="0" applyAlignment="0" applyProtection="0"/>
    <xf numFmtId="0" fontId="20" fillId="17" borderId="21" applyNumberFormat="0" applyAlignment="0" applyProtection="0"/>
    <xf numFmtId="0" fontId="22" fillId="0" borderId="22" applyNumberFormat="0" applyFill="0" applyAlignment="0" applyProtection="0"/>
    <xf numFmtId="0" fontId="4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protection locked="0"/>
    </xf>
    <xf numFmtId="0" fontId="2" fillId="0" borderId="0"/>
    <xf numFmtId="0" fontId="2" fillId="0" borderId="0"/>
    <xf numFmtId="0" fontId="10" fillId="17" borderId="27" applyNumberFormat="0" applyAlignment="0" applyProtection="0"/>
    <xf numFmtId="0" fontId="17" fillId="17" borderId="27" applyNumberFormat="0" applyAlignment="0" applyProtection="0"/>
    <xf numFmtId="0" fontId="2" fillId="14" borderId="28" applyNumberFormat="0" applyFont="0" applyAlignment="0" applyProtection="0"/>
    <xf numFmtId="0" fontId="20" fillId="17" borderId="29" applyNumberFormat="0" applyAlignment="0" applyProtection="0"/>
    <xf numFmtId="0" fontId="22" fillId="0" borderId="30" applyNumberFormat="0" applyFill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2" fillId="0" borderId="0">
      <protection locked="0"/>
    </xf>
    <xf numFmtId="0" fontId="2" fillId="0" borderId="0"/>
    <xf numFmtId="0" fontId="7" fillId="0" borderId="0"/>
    <xf numFmtId="0" fontId="7" fillId="0" borderId="0"/>
    <xf numFmtId="0" fontId="7" fillId="0" borderId="0"/>
    <xf numFmtId="43" fontId="4" fillId="0" borderId="0">
      <alignment vertical="top"/>
      <protection locked="0"/>
    </xf>
    <xf numFmtId="0" fontId="7" fillId="0" borderId="0"/>
    <xf numFmtId="0" fontId="2" fillId="0" borderId="0"/>
    <xf numFmtId="0" fontId="2" fillId="0" borderId="0">
      <protection locked="0"/>
    </xf>
    <xf numFmtId="43" fontId="4" fillId="0" borderId="0">
      <protection locked="0"/>
    </xf>
    <xf numFmtId="41" fontId="4" fillId="0" borderId="0">
      <protection locked="0"/>
    </xf>
    <xf numFmtId="41" fontId="2" fillId="0" borderId="0">
      <protection locked="0"/>
    </xf>
    <xf numFmtId="0" fontId="2" fillId="0" borderId="0">
      <protection locked="0"/>
    </xf>
    <xf numFmtId="0" fontId="2" fillId="0" borderId="0"/>
    <xf numFmtId="0" fontId="2" fillId="0" borderId="0"/>
    <xf numFmtId="0" fontId="4" fillId="10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24" fillId="3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4" fillId="11" borderId="0" applyNumberFormat="0" applyBorder="0" applyAlignment="0" applyProtection="0"/>
    <xf numFmtId="0" fontId="4" fillId="1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4" fillId="18" borderId="0" applyNumberFormat="0" applyBorder="0" applyAlignment="0" applyProtection="0"/>
    <xf numFmtId="0" fontId="4" fillId="12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4" fillId="12" borderId="0" applyNumberFormat="0" applyBorder="0" applyAlignment="0" applyProtection="0"/>
    <xf numFmtId="0" fontId="4" fillId="1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4" fillId="19" borderId="0" applyNumberFormat="0" applyBorder="0" applyAlignment="0" applyProtection="0"/>
    <xf numFmtId="0" fontId="4" fillId="15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4" fillId="18" borderId="0" applyNumberFormat="0" applyBorder="0" applyAlignment="0" applyProtection="0"/>
    <xf numFmtId="0" fontId="4" fillId="21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4" fillId="21" borderId="0" applyNumberFormat="0" applyBorder="0" applyAlignment="0" applyProtection="0"/>
    <xf numFmtId="0" fontId="8" fillId="22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8" fillId="22" borderId="0" applyNumberFormat="0" applyBorder="0" applyAlignment="0" applyProtection="0"/>
    <xf numFmtId="0" fontId="8" fillId="12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8" fillId="19" borderId="0" applyNumberFormat="0" applyBorder="0" applyAlignment="0" applyProtection="0"/>
    <xf numFmtId="0" fontId="8" fillId="24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8" fillId="24" borderId="0" applyNumberFormat="0" applyBorder="0" applyAlignment="0" applyProtection="0"/>
    <xf numFmtId="0" fontId="8" fillId="23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8" fillId="23" borderId="0" applyNumberFormat="0" applyBorder="0" applyAlignment="0" applyProtection="0"/>
    <xf numFmtId="0" fontId="8" fillId="25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8" fillId="28" borderId="0" applyNumberFormat="0" applyBorder="0" applyAlignment="0" applyProtection="0"/>
    <xf numFmtId="0" fontId="8" fillId="24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8" fillId="24" borderId="0" applyNumberFormat="0" applyBorder="0" applyAlignment="0" applyProtection="0"/>
    <xf numFmtId="0" fontId="8" fillId="2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8" fillId="23" borderId="0" applyNumberFormat="0" applyBorder="0" applyAlignment="0" applyProtection="0"/>
    <xf numFmtId="0" fontId="8" fillId="29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8" fillId="29" borderId="0" applyNumberFormat="0" applyBorder="0" applyAlignment="0" applyProtection="0"/>
    <xf numFmtId="0" fontId="9" fillId="11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9" fillId="11" borderId="0" applyNumberFormat="0" applyBorder="0" applyAlignment="0" applyProtection="0"/>
    <xf numFmtId="0" fontId="10" fillId="17" borderId="31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10" fillId="17" borderId="31" applyNumberFormat="0" applyAlignment="0" applyProtection="0"/>
    <xf numFmtId="0" fontId="10" fillId="17" borderId="31" applyNumberFormat="0" applyAlignment="0" applyProtection="0"/>
    <xf numFmtId="0" fontId="11" fillId="30" borderId="9" applyNumberFormat="0" applyAlignment="0" applyProtection="0"/>
    <xf numFmtId="0" fontId="26" fillId="8" borderId="6" applyNumberFormat="0" applyAlignment="0" applyProtection="0"/>
    <xf numFmtId="0" fontId="26" fillId="8" borderId="6" applyNumberFormat="0" applyAlignment="0" applyProtection="0"/>
    <xf numFmtId="0" fontId="26" fillId="8" borderId="6" applyNumberFormat="0" applyAlignment="0" applyProtection="0"/>
    <xf numFmtId="0" fontId="11" fillId="30" borderId="9" applyNumberFormat="0" applyAlignment="0" applyProtection="0"/>
    <xf numFmtId="0" fontId="1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13" fillId="13" borderId="0" applyNumberFormat="0" applyBorder="0" applyAlignment="0" applyProtection="0"/>
    <xf numFmtId="0" fontId="14" fillId="0" borderId="10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14" fillId="0" borderId="10" applyNumberFormat="0" applyFill="0" applyAlignment="0" applyProtection="0"/>
    <xf numFmtId="0" fontId="15" fillId="0" borderId="11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15" fillId="0" borderId="11" applyNumberFormat="0" applyFill="0" applyAlignment="0" applyProtection="0"/>
    <xf numFmtId="0" fontId="16" fillId="0" borderId="12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16" fillId="0" borderId="12" applyNumberFormat="0" applyFill="0" applyAlignment="0" applyProtection="0"/>
    <xf numFmtId="0" fontId="1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17" borderId="31" applyNumberFormat="0" applyAlignment="0" applyProtection="0"/>
    <xf numFmtId="0" fontId="36" fillId="6" borderId="3" applyNumberFormat="0" applyAlignment="0" applyProtection="0"/>
    <xf numFmtId="0" fontId="36" fillId="6" borderId="3" applyNumberFormat="0" applyAlignment="0" applyProtection="0"/>
    <xf numFmtId="0" fontId="36" fillId="6" borderId="3" applyNumberFormat="0" applyAlignment="0" applyProtection="0"/>
    <xf numFmtId="0" fontId="17" fillId="17" borderId="31" applyNumberFormat="0" applyAlignment="0" applyProtection="0"/>
    <xf numFmtId="0" fontId="17" fillId="17" borderId="31" applyNumberFormat="0" applyAlignment="0" applyProtection="0"/>
    <xf numFmtId="0" fontId="18" fillId="0" borderId="13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18" fillId="0" borderId="13" applyNumberFormat="0" applyFill="0" applyAlignment="0" applyProtection="0"/>
    <xf numFmtId="0" fontId="19" fillId="20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19" fillId="20" borderId="0" applyNumberFormat="0" applyBorder="0" applyAlignment="0" applyProtection="0"/>
    <xf numFmtId="0" fontId="2" fillId="0" borderId="0"/>
    <xf numFmtId="0" fontId="2" fillId="14" borderId="32" applyNumberFormat="0" applyFont="0" applyAlignment="0" applyProtection="0"/>
    <xf numFmtId="0" fontId="2" fillId="9" borderId="7" applyNumberFormat="0" applyFont="0" applyAlignment="0" applyProtection="0"/>
    <xf numFmtId="0" fontId="2" fillId="9" borderId="7" applyNumberFormat="0" applyFont="0" applyAlignment="0" applyProtection="0"/>
    <xf numFmtId="0" fontId="2" fillId="9" borderId="7" applyNumberFormat="0" applyFont="0" applyAlignment="0" applyProtection="0"/>
    <xf numFmtId="0" fontId="2" fillId="14" borderId="32" applyNumberFormat="0" applyFont="0" applyAlignment="0" applyProtection="0"/>
    <xf numFmtId="0" fontId="2" fillId="14" borderId="32" applyNumberFormat="0" applyFont="0" applyAlignment="0" applyProtection="0"/>
    <xf numFmtId="0" fontId="20" fillId="17" borderId="33" applyNumberFormat="0" applyAlignment="0" applyProtection="0"/>
    <xf numFmtId="0" fontId="39" fillId="7" borderId="4" applyNumberFormat="0" applyAlignment="0" applyProtection="0"/>
    <xf numFmtId="0" fontId="39" fillId="7" borderId="4" applyNumberFormat="0" applyAlignment="0" applyProtection="0"/>
    <xf numFmtId="0" fontId="39" fillId="7" borderId="4" applyNumberFormat="0" applyAlignment="0" applyProtection="0"/>
    <xf numFmtId="0" fontId="20" fillId="17" borderId="33" applyNumberFormat="0" applyAlignment="0" applyProtection="0"/>
    <xf numFmtId="0" fontId="20" fillId="17" borderId="33" applyNumberFormat="0" applyAlignment="0" applyProtection="0"/>
    <xf numFmtId="0" fontId="2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34" applyNumberFormat="0" applyFill="0" applyAlignment="0" applyProtection="0"/>
    <xf numFmtId="0" fontId="28" fillId="0" borderId="20" applyNumberFormat="0" applyFill="0" applyAlignment="0" applyProtection="0"/>
    <xf numFmtId="0" fontId="28" fillId="0" borderId="20" applyNumberFormat="0" applyFill="0" applyAlignment="0" applyProtection="0"/>
    <xf numFmtId="0" fontId="28" fillId="0" borderId="20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4" fillId="0" borderId="0" applyFont="0" applyFill="0" applyBorder="0" applyAlignment="0" applyProtection="0"/>
    <xf numFmtId="43" fontId="4" fillId="0" borderId="0">
      <protection locked="0"/>
    </xf>
    <xf numFmtId="41" fontId="4" fillId="0" borderId="0">
      <protection locked="0"/>
    </xf>
    <xf numFmtId="0" fontId="2" fillId="0" borderId="0"/>
    <xf numFmtId="0" fontId="2" fillId="0" borderId="0"/>
    <xf numFmtId="0" fontId="2" fillId="9" borderId="7" applyNumberFormat="0" applyFont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14" borderId="32" applyNumberFormat="0" applyFont="0" applyAlignment="0" applyProtection="0"/>
    <xf numFmtId="0" fontId="2" fillId="9" borderId="7" applyNumberFormat="0" applyFont="0" applyAlignment="0" applyProtection="0"/>
    <xf numFmtId="0" fontId="2" fillId="9" borderId="7" applyNumberFormat="0" applyFont="0" applyAlignment="0" applyProtection="0"/>
    <xf numFmtId="0" fontId="2" fillId="9" borderId="7" applyNumberFormat="0" applyFont="0" applyAlignment="0" applyProtection="0"/>
    <xf numFmtId="0" fontId="2" fillId="14" borderId="32" applyNumberFormat="0" applyFont="0" applyAlignment="0" applyProtection="0"/>
    <xf numFmtId="0" fontId="2" fillId="14" borderId="32" applyNumberFormat="0" applyFont="0" applyAlignment="0" applyProtection="0"/>
    <xf numFmtId="0" fontId="2" fillId="14" borderId="32" applyNumberFormat="0" applyFont="0" applyAlignment="0" applyProtection="0"/>
    <xf numFmtId="0" fontId="22" fillId="0" borderId="34" applyNumberFormat="0" applyFill="0" applyAlignment="0" applyProtection="0"/>
    <xf numFmtId="0" fontId="20" fillId="17" borderId="33" applyNumberFormat="0" applyAlignment="0" applyProtection="0"/>
    <xf numFmtId="0" fontId="2" fillId="14" borderId="32" applyNumberFormat="0" applyFont="0" applyAlignment="0" applyProtection="0"/>
    <xf numFmtId="0" fontId="17" fillId="17" borderId="31" applyNumberFormat="0" applyAlignment="0" applyProtection="0"/>
    <xf numFmtId="0" fontId="10" fillId="17" borderId="31" applyNumberFormat="0" applyAlignment="0" applyProtection="0"/>
    <xf numFmtId="0" fontId="2" fillId="14" borderId="32" applyNumberFormat="0" applyFont="0" applyAlignment="0" applyProtection="0"/>
    <xf numFmtId="0" fontId="2" fillId="14" borderId="32" applyNumberFormat="0" applyFont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0" fillId="17" borderId="33" applyNumberFormat="0" applyAlignment="0" applyProtection="0"/>
    <xf numFmtId="0" fontId="20" fillId="17" borderId="33" applyNumberFormat="0" applyAlignment="0" applyProtection="0"/>
    <xf numFmtId="0" fontId="2" fillId="14" borderId="32" applyNumberFormat="0" applyFont="0" applyAlignment="0" applyProtection="0"/>
    <xf numFmtId="0" fontId="2" fillId="14" borderId="32" applyNumberFormat="0" applyFont="0" applyAlignment="0" applyProtection="0"/>
    <xf numFmtId="0" fontId="17" fillId="17" borderId="31" applyNumberFormat="0" applyAlignment="0" applyProtection="0"/>
    <xf numFmtId="0" fontId="17" fillId="17" borderId="31" applyNumberFormat="0" applyAlignment="0" applyProtection="0"/>
    <xf numFmtId="0" fontId="10" fillId="17" borderId="31" applyNumberFormat="0" applyAlignment="0" applyProtection="0"/>
    <xf numFmtId="0" fontId="10" fillId="17" borderId="31" applyNumberFormat="0" applyAlignment="0" applyProtection="0"/>
    <xf numFmtId="0" fontId="43" fillId="0" borderId="0"/>
    <xf numFmtId="0" fontId="6" fillId="0" borderId="0">
      <alignment vertical="center"/>
    </xf>
    <xf numFmtId="0" fontId="2" fillId="0" borderId="0">
      <protection locked="0"/>
    </xf>
    <xf numFmtId="0" fontId="4" fillId="0" borderId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7" borderId="0" applyNumberFormat="0" applyBorder="0" applyAlignment="0" applyProtection="0"/>
    <xf numFmtId="0" fontId="4" fillId="58" borderId="0" applyNumberFormat="0" applyBorder="0" applyAlignment="0" applyProtection="0"/>
    <xf numFmtId="0" fontId="4" fillId="59" borderId="0" applyNumberFormat="0" applyBorder="0" applyAlignment="0" applyProtection="0"/>
    <xf numFmtId="0" fontId="4" fillId="60" borderId="0" applyNumberFormat="0" applyBorder="0" applyAlignment="0" applyProtection="0"/>
    <xf numFmtId="0" fontId="4" fillId="61" borderId="0" applyNumberFormat="0" applyBorder="0" applyAlignment="0" applyProtection="0"/>
    <xf numFmtId="0" fontId="4" fillId="62" borderId="0" applyNumberFormat="0" applyBorder="0" applyAlignment="0" applyProtection="0"/>
    <xf numFmtId="0" fontId="4" fillId="63" borderId="0" applyNumberFormat="0" applyBorder="0" applyAlignment="0" applyProtection="0"/>
    <xf numFmtId="0" fontId="4" fillId="58" borderId="0" applyNumberFormat="0" applyBorder="0" applyAlignment="0" applyProtection="0"/>
    <xf numFmtId="0" fontId="4" fillId="61" borderId="0" applyNumberFormat="0" applyBorder="0" applyAlignment="0" applyProtection="0"/>
    <xf numFmtId="0" fontId="4" fillId="64" borderId="0" applyNumberFormat="0" applyBorder="0" applyAlignment="0" applyProtection="0"/>
    <xf numFmtId="0" fontId="8" fillId="65" borderId="0" applyNumberFormat="0" applyBorder="0" applyAlignment="0" applyProtection="0"/>
    <xf numFmtId="0" fontId="8" fillId="62" borderId="0" applyNumberFormat="0" applyBorder="0" applyAlignment="0" applyProtection="0"/>
    <xf numFmtId="0" fontId="8" fillId="63" borderId="0" applyNumberFormat="0" applyBorder="0" applyAlignment="0" applyProtection="0"/>
    <xf numFmtId="0" fontId="8" fillId="66" borderId="0" applyNumberFormat="0" applyBorder="0" applyAlignment="0" applyProtection="0"/>
    <xf numFmtId="0" fontId="8" fillId="67" borderId="0" applyNumberFormat="0" applyBorder="0" applyAlignment="0" applyProtection="0"/>
    <xf numFmtId="0" fontId="8" fillId="68" borderId="0" applyNumberFormat="0" applyBorder="0" applyAlignment="0" applyProtection="0"/>
    <xf numFmtId="0" fontId="8" fillId="69" borderId="0" applyNumberFormat="0" applyBorder="0" applyAlignment="0" applyProtection="0"/>
    <xf numFmtId="0" fontId="8" fillId="70" borderId="0" applyNumberFormat="0" applyBorder="0" applyAlignment="0" applyProtection="0"/>
    <xf numFmtId="0" fontId="8" fillId="71" borderId="0" applyNumberFormat="0" applyBorder="0" applyAlignment="0" applyProtection="0"/>
    <xf numFmtId="0" fontId="8" fillId="66" borderId="0" applyNumberFormat="0" applyBorder="0" applyAlignment="0" applyProtection="0"/>
    <xf numFmtId="0" fontId="8" fillId="67" borderId="0" applyNumberFormat="0" applyBorder="0" applyAlignment="0" applyProtection="0"/>
    <xf numFmtId="0" fontId="8" fillId="72" borderId="0" applyNumberFormat="0" applyBorder="0" applyAlignment="0" applyProtection="0"/>
    <xf numFmtId="0" fontId="9" fillId="56" borderId="0" applyNumberFormat="0" applyBorder="0" applyAlignment="0" applyProtection="0"/>
    <xf numFmtId="0" fontId="10" fillId="73" borderId="31" applyNumberFormat="0" applyAlignment="0" applyProtection="0"/>
    <xf numFmtId="0" fontId="11" fillId="74" borderId="9" applyNumberFormat="0" applyAlignment="0" applyProtection="0"/>
    <xf numFmtId="0" fontId="13" fillId="57" borderId="0" applyNumberFormat="0" applyBorder="0" applyAlignment="0" applyProtection="0"/>
    <xf numFmtId="0" fontId="17" fillId="60" borderId="31" applyNumberFormat="0" applyAlignment="0" applyProtection="0"/>
    <xf numFmtId="0" fontId="19" fillId="75" borderId="0" applyNumberFormat="0" applyBorder="0" applyAlignment="0" applyProtection="0"/>
    <xf numFmtId="0" fontId="4" fillId="76" borderId="32" applyNumberFormat="0" applyAlignment="0" applyProtection="0"/>
    <xf numFmtId="0" fontId="20" fillId="73" borderId="21" applyNumberFormat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5" fillId="50" borderId="0" applyNumberFormat="0" applyBorder="0" applyAlignment="0" applyProtection="0"/>
    <xf numFmtId="0" fontId="25" fillId="51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4" borderId="0" applyNumberFormat="0" applyBorder="0" applyAlignment="0" applyProtection="0"/>
    <xf numFmtId="0" fontId="30" fillId="4" borderId="0" applyNumberFormat="0" applyBorder="0" applyAlignment="0" applyProtection="0"/>
    <xf numFmtId="0" fontId="31" fillId="7" borderId="3" applyNumberFormat="0" applyAlignment="0" applyProtection="0"/>
    <xf numFmtId="0" fontId="26" fillId="8" borderId="6" applyNumberFormat="0" applyAlignment="0" applyProtection="0"/>
    <xf numFmtId="0" fontId="27" fillId="0" borderId="0" applyNumberFormat="0" applyFill="0" applyBorder="0" applyAlignment="0" applyProtection="0"/>
    <xf numFmtId="0" fontId="32" fillId="3" borderId="0" applyNumberFormat="0" applyBorder="0" applyAlignment="0" applyProtection="0"/>
    <xf numFmtId="0" fontId="33" fillId="0" borderId="17" applyNumberFormat="0" applyFill="0" applyAlignment="0" applyProtection="0"/>
    <xf numFmtId="0" fontId="34" fillId="0" borderId="18" applyNumberFormat="0" applyFill="0" applyAlignment="0" applyProtection="0"/>
    <xf numFmtId="0" fontId="35" fillId="0" borderId="19" applyNumberFormat="0" applyFill="0" applyAlignment="0" applyProtection="0"/>
    <xf numFmtId="0" fontId="35" fillId="0" borderId="0" applyNumberFormat="0" applyFill="0" applyBorder="0" applyAlignment="0" applyProtection="0"/>
    <xf numFmtId="0" fontId="36" fillId="6" borderId="3" applyNumberFormat="0" applyAlignment="0" applyProtection="0"/>
    <xf numFmtId="0" fontId="37" fillId="0" borderId="5" applyNumberFormat="0" applyFill="0" applyAlignment="0" applyProtection="0"/>
    <xf numFmtId="0" fontId="38" fillId="5" borderId="0" applyNumberFormat="0" applyBorder="0" applyAlignment="0" applyProtection="0"/>
    <xf numFmtId="0" fontId="39" fillId="7" borderId="4" applyNumberFormat="0" applyAlignment="0" applyProtection="0"/>
    <xf numFmtId="0" fontId="40" fillId="0" borderId="0" applyNumberFormat="0" applyFill="0" applyBorder="0" applyAlignment="0" applyProtection="0"/>
    <xf numFmtId="0" fontId="28" fillId="0" borderId="20" applyNumberFormat="0" applyFill="0" applyAlignment="0" applyProtection="0"/>
    <xf numFmtId="0" fontId="29" fillId="0" borderId="0" applyNumberFormat="0" applyFill="0" applyBorder="0" applyAlignment="0" applyProtection="0"/>
    <xf numFmtId="0" fontId="20" fillId="17" borderId="21" applyNumberFormat="0" applyAlignment="0" applyProtection="0"/>
    <xf numFmtId="0" fontId="20" fillId="17" borderId="21" applyNumberFormat="0" applyAlignment="0" applyProtection="0"/>
    <xf numFmtId="0" fontId="46" fillId="0" borderId="0"/>
    <xf numFmtId="0" fontId="2" fillId="0" borderId="0"/>
    <xf numFmtId="0" fontId="2" fillId="0" borderId="0"/>
    <xf numFmtId="0" fontId="2" fillId="0" borderId="0"/>
    <xf numFmtId="41" fontId="7" fillId="0" borderId="0" applyFont="0" applyFill="0" applyBorder="0" applyAlignment="0" applyProtection="0"/>
    <xf numFmtId="0" fontId="7" fillId="0" borderId="0"/>
    <xf numFmtId="0" fontId="2" fillId="0" borderId="0"/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12" fillId="0" borderId="0" applyNumberFormat="0" applyFill="0" applyBorder="0" applyAlignment="0" applyProtection="0"/>
    <xf numFmtId="0" fontId="14" fillId="0" borderId="10" applyNumberFormat="0" applyFill="0" applyAlignment="0" applyProtection="0"/>
    <xf numFmtId="0" fontId="15" fillId="0" borderId="11" applyNumberFormat="0" applyFill="0" applyAlignment="0" applyProtection="0"/>
    <xf numFmtId="0" fontId="16" fillId="0" borderId="12" applyNumberFormat="0" applyFill="0" applyAlignment="0" applyProtection="0"/>
    <xf numFmtId="0" fontId="16" fillId="0" borderId="0" applyNumberFormat="0" applyFill="0" applyBorder="0" applyAlignment="0" applyProtection="0"/>
    <xf numFmtId="0" fontId="18" fillId="0" borderId="13" applyNumberFormat="0" applyFill="0" applyAlignment="0" applyProtection="0"/>
    <xf numFmtId="0" fontId="20" fillId="73" borderId="33" applyNumberFormat="0" applyAlignment="0" applyProtection="0"/>
    <xf numFmtId="0" fontId="21" fillId="0" borderId="0" applyNumberFormat="0" applyFill="0" applyBorder="0" applyAlignment="0" applyProtection="0"/>
    <xf numFmtId="0" fontId="22" fillId="0" borderId="34" applyNumberFormat="0" applyFill="0" applyAlignment="0" applyProtection="0"/>
    <xf numFmtId="0" fontId="23" fillId="0" borderId="0" applyNumberForma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47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14" borderId="32" applyNumberFormat="0" applyFont="0" applyAlignment="0" applyProtection="0"/>
    <xf numFmtId="0" fontId="17" fillId="17" borderId="31" applyNumberFormat="0" applyAlignment="0" applyProtection="0"/>
    <xf numFmtId="0" fontId="10" fillId="17" borderId="31" applyNumberFormat="0" applyAlignment="0" applyProtection="0"/>
    <xf numFmtId="0" fontId="22" fillId="0" borderId="34" applyNumberFormat="0" applyFill="0" applyAlignment="0" applyProtection="0"/>
    <xf numFmtId="0" fontId="20" fillId="17" borderId="33" applyNumberFormat="0" applyAlignment="0" applyProtection="0"/>
    <xf numFmtId="0" fontId="2" fillId="0" borderId="0"/>
    <xf numFmtId="0" fontId="10" fillId="17" borderId="31" applyNumberFormat="0" applyAlignment="0" applyProtection="0"/>
    <xf numFmtId="0" fontId="17" fillId="17" borderId="31" applyNumberFormat="0" applyAlignment="0" applyProtection="0"/>
    <xf numFmtId="0" fontId="20" fillId="17" borderId="33" applyNumberFormat="0" applyAlignment="0" applyProtection="0"/>
    <xf numFmtId="0" fontId="22" fillId="0" borderId="34" applyNumberFormat="0" applyFill="0" applyAlignment="0" applyProtection="0"/>
    <xf numFmtId="0" fontId="20" fillId="17" borderId="33" applyNumberFormat="0" applyAlignment="0" applyProtection="0"/>
    <xf numFmtId="0" fontId="20" fillId="17" borderId="33" applyNumberFormat="0" applyAlignment="0" applyProtection="0"/>
    <xf numFmtId="0" fontId="2" fillId="0" borderId="0"/>
  </cellStyleXfs>
  <cellXfs count="96">
    <xf numFmtId="0" fontId="0" fillId="0" borderId="0" xfId="0"/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48" fillId="0" borderId="23" xfId="0" applyFont="1" applyBorder="1" applyAlignment="1">
      <alignment horizontal="center" vertical="center" wrapText="1"/>
    </xf>
    <xf numFmtId="0" fontId="48" fillId="0" borderId="23" xfId="0" applyFont="1" applyBorder="1" applyAlignment="1">
      <alignment horizontal="center" vertical="center"/>
    </xf>
    <xf numFmtId="49" fontId="48" fillId="0" borderId="23" xfId="0" applyNumberFormat="1" applyFont="1" applyBorder="1" applyAlignment="1">
      <alignment horizontal="center" vertical="center"/>
    </xf>
    <xf numFmtId="1" fontId="48" fillId="77" borderId="23" xfId="0" applyNumberFormat="1" applyFont="1" applyFill="1" applyBorder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51" fillId="0" borderId="0" xfId="0" applyFont="1" applyAlignment="1">
      <alignment vertical="center"/>
    </xf>
    <xf numFmtId="49" fontId="51" fillId="0" borderId="0" xfId="0" applyNumberFormat="1" applyFont="1" applyAlignment="1">
      <alignment horizontal="center" vertical="center"/>
    </xf>
    <xf numFmtId="1" fontId="51" fillId="0" borderId="0" xfId="0" applyNumberFormat="1" applyFont="1" applyAlignment="1">
      <alignment horizontal="center" vertical="center"/>
    </xf>
    <xf numFmtId="0" fontId="49" fillId="0" borderId="26" xfId="0" applyFont="1" applyBorder="1" applyAlignment="1">
      <alignment horizontal="center" vertical="center"/>
    </xf>
    <xf numFmtId="0" fontId="50" fillId="0" borderId="26" xfId="0" quotePrefix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0" fillId="0" borderId="2" xfId="0" quotePrefix="1" applyFont="1" applyBorder="1" applyAlignment="1">
      <alignment horizontal="center" vertical="center"/>
    </xf>
    <xf numFmtId="0" fontId="52" fillId="0" borderId="0" xfId="0" applyFont="1" applyAlignment="1">
      <alignment horizontal="left" vertical="center"/>
    </xf>
    <xf numFmtId="0" fontId="1" fillId="78" borderId="23" xfId="0" applyFont="1" applyFill="1" applyBorder="1" applyAlignment="1">
      <alignment horizontal="left" vertical="center" wrapText="1"/>
    </xf>
    <xf numFmtId="3" fontId="1" fillId="78" borderId="23" xfId="0" applyNumberFormat="1" applyFont="1" applyFill="1" applyBorder="1" applyAlignment="1">
      <alignment horizontal="center" vertical="center" wrapText="1"/>
    </xf>
    <xf numFmtId="0" fontId="0" fillId="0" borderId="23" xfId="0" applyBorder="1"/>
    <xf numFmtId="0" fontId="54" fillId="79" borderId="23" xfId="0" applyFont="1" applyFill="1" applyBorder="1"/>
    <xf numFmtId="167" fontId="54" fillId="79" borderId="23" xfId="0" applyNumberFormat="1" applyFont="1" applyFill="1" applyBorder="1"/>
    <xf numFmtId="0" fontId="45" fillId="2" borderId="3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7" xfId="0" applyFont="1" applyBorder="1" applyAlignment="1">
      <alignment horizontal="left" vertical="center"/>
    </xf>
    <xf numFmtId="0" fontId="44" fillId="0" borderId="3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3" xfId="0" quotePrefix="1" applyBorder="1" applyAlignment="1">
      <alignment horizontal="center" vertical="center"/>
    </xf>
    <xf numFmtId="0" fontId="51" fillId="0" borderId="23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0" fontId="55" fillId="0" borderId="37" xfId="0" applyFont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49" fontId="44" fillId="0" borderId="37" xfId="0" quotePrefix="1" applyNumberFormat="1" applyFont="1" applyBorder="1" applyAlignment="1">
      <alignment horizontal="center" vertical="center"/>
    </xf>
    <xf numFmtId="164" fontId="44" fillId="0" borderId="37" xfId="0" applyNumberFormat="1" applyFont="1" applyBorder="1" applyAlignment="1">
      <alignment horizontal="center" vertical="center"/>
    </xf>
    <xf numFmtId="0" fontId="44" fillId="0" borderId="37" xfId="0" applyFont="1" applyBorder="1" applyAlignment="1">
      <alignment horizontal="center" vertical="center" wrapText="1"/>
    </xf>
    <xf numFmtId="0" fontId="44" fillId="0" borderId="37" xfId="0" quotePrefix="1" applyFont="1" applyBorder="1" applyAlignment="1">
      <alignment horizontal="center" vertical="center"/>
    </xf>
    <xf numFmtId="0" fontId="44" fillId="0" borderId="37" xfId="3" applyFont="1" applyBorder="1" applyAlignment="1">
      <alignment horizontal="center" vertical="center"/>
    </xf>
    <xf numFmtId="49" fontId="44" fillId="0" borderId="37" xfId="0" applyNumberFormat="1" applyFont="1" applyBorder="1" applyAlignment="1">
      <alignment horizontal="center" vertical="center"/>
    </xf>
    <xf numFmtId="166" fontId="44" fillId="0" borderId="37" xfId="0" applyNumberFormat="1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0" fillId="0" borderId="0" xfId="0" quotePrefix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4" fillId="2" borderId="2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49" fontId="56" fillId="2" borderId="2" xfId="0" applyNumberFormat="1" applyFont="1" applyFill="1" applyBorder="1" applyAlignment="1">
      <alignment horizontal="center" vertical="center"/>
    </xf>
    <xf numFmtId="0" fontId="45" fillId="2" borderId="2" xfId="0" applyFont="1" applyFill="1" applyBorder="1" applyAlignment="1">
      <alignment horizontal="center" vertical="center"/>
    </xf>
    <xf numFmtId="0" fontId="51" fillId="80" borderId="23" xfId="0" applyFont="1" applyFill="1" applyBorder="1" applyAlignment="1">
      <alignment horizontal="center" vertical="center"/>
    </xf>
    <xf numFmtId="0" fontId="51" fillId="80" borderId="23" xfId="3" applyFont="1" applyFill="1" applyBorder="1" applyAlignment="1">
      <alignment horizontal="center" vertical="center"/>
    </xf>
    <xf numFmtId="49" fontId="51" fillId="80" borderId="23" xfId="0" quotePrefix="1" applyNumberFormat="1" applyFont="1" applyFill="1" applyBorder="1" applyAlignment="1">
      <alignment horizontal="center" vertical="center"/>
    </xf>
    <xf numFmtId="164" fontId="51" fillId="80" borderId="23" xfId="0" applyNumberFormat="1" applyFont="1" applyFill="1" applyBorder="1" applyAlignment="1">
      <alignment horizontal="center" vertical="center"/>
    </xf>
    <xf numFmtId="0" fontId="51" fillId="2" borderId="23" xfId="0" applyFont="1" applyFill="1" applyBorder="1" applyAlignment="1">
      <alignment horizontal="center" vertical="center"/>
    </xf>
    <xf numFmtId="167" fontId="1" fillId="78" borderId="23" xfId="489" applyNumberFormat="1" applyFont="1" applyFill="1" applyBorder="1" applyAlignment="1">
      <alignment horizontal="left" vertical="center" wrapText="1"/>
    </xf>
    <xf numFmtId="167" fontId="1" fillId="78" borderId="23" xfId="489" applyNumberFormat="1" applyFont="1" applyFill="1" applyBorder="1" applyAlignment="1">
      <alignment horizontal="center" vertical="center" wrapText="1"/>
    </xf>
    <xf numFmtId="167" fontId="0" fillId="0" borderId="23" xfId="489" applyNumberFormat="1" applyFont="1" applyBorder="1"/>
    <xf numFmtId="3" fontId="1" fillId="0" borderId="0" xfId="0" applyNumberFormat="1" applyFont="1" applyAlignment="1">
      <alignment horizontal="center" vertical="center"/>
    </xf>
    <xf numFmtId="0" fontId="44" fillId="2" borderId="37" xfId="0" applyFont="1" applyFill="1" applyBorder="1" applyAlignment="1">
      <alignment horizontal="center" vertical="center"/>
    </xf>
    <xf numFmtId="0" fontId="44" fillId="2" borderId="0" xfId="0" applyFont="1" applyFill="1" applyAlignment="1">
      <alignment vertical="center"/>
    </xf>
    <xf numFmtId="0" fontId="44" fillId="0" borderId="40" xfId="0" applyFont="1" applyBorder="1" applyAlignment="1">
      <alignment horizontal="center" vertical="center"/>
    </xf>
    <xf numFmtId="0" fontId="55" fillId="0" borderId="41" xfId="0" applyFont="1" applyBorder="1" applyAlignment="1">
      <alignment horizontal="center" vertical="center" wrapText="1"/>
    </xf>
    <xf numFmtId="0" fontId="44" fillId="0" borderId="38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64" fontId="44" fillId="0" borderId="3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4" fillId="80" borderId="37" xfId="0" applyFont="1" applyFill="1" applyBorder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/>
    </xf>
    <xf numFmtId="0" fontId="44" fillId="2" borderId="38" xfId="0" applyFont="1" applyFill="1" applyBorder="1" applyAlignment="1">
      <alignment horizontal="center" vertical="center"/>
    </xf>
    <xf numFmtId="165" fontId="51" fillId="80" borderId="23" xfId="489" applyNumberFormat="1" applyFont="1" applyFill="1" applyBorder="1" applyAlignment="1">
      <alignment vertical="center"/>
    </xf>
    <xf numFmtId="49" fontId="51" fillId="2" borderId="23" xfId="0" quotePrefix="1" applyNumberFormat="1" applyFont="1" applyFill="1" applyBorder="1" applyAlignment="1">
      <alignment horizontal="center" vertical="center"/>
    </xf>
    <xf numFmtId="164" fontId="51" fillId="2" borderId="23" xfId="0" applyNumberFormat="1" applyFont="1" applyFill="1" applyBorder="1" applyAlignment="1">
      <alignment horizontal="center" vertical="center"/>
    </xf>
    <xf numFmtId="165" fontId="51" fillId="2" borderId="23" xfId="489" applyNumberFormat="1" applyFont="1" applyFill="1" applyBorder="1" applyAlignment="1">
      <alignment vertical="center"/>
    </xf>
    <xf numFmtId="0" fontId="51" fillId="2" borderId="23" xfId="3" applyFont="1" applyFill="1" applyBorder="1" applyAlignment="1">
      <alignment horizontal="center" vertical="center"/>
    </xf>
    <xf numFmtId="0" fontId="3" fillId="2" borderId="23" xfId="1" applyFont="1" applyFill="1" applyBorder="1" applyAlignment="1">
      <alignment horizontal="center" vertical="center"/>
    </xf>
    <xf numFmtId="0" fontId="44" fillId="2" borderId="41" xfId="0" applyFont="1" applyFill="1" applyBorder="1" applyAlignment="1">
      <alignment horizontal="center" vertical="center"/>
    </xf>
    <xf numFmtId="0" fontId="51" fillId="2" borderId="35" xfId="3" applyFont="1" applyFill="1" applyBorder="1" applyAlignment="1">
      <alignment horizontal="center" vertical="center"/>
    </xf>
    <xf numFmtId="0" fontId="51" fillId="2" borderId="35" xfId="0" applyFont="1" applyFill="1" applyBorder="1" applyAlignment="1">
      <alignment horizontal="center" vertical="center"/>
    </xf>
    <xf numFmtId="49" fontId="51" fillId="2" borderId="35" xfId="0" quotePrefix="1" applyNumberFormat="1" applyFont="1" applyFill="1" applyBorder="1" applyAlignment="1">
      <alignment horizontal="center" vertical="center"/>
    </xf>
    <xf numFmtId="164" fontId="51" fillId="2" borderId="35" xfId="0" applyNumberFormat="1" applyFont="1" applyFill="1" applyBorder="1" applyAlignment="1">
      <alignment horizontal="center" vertical="center"/>
    </xf>
    <xf numFmtId="0" fontId="44" fillId="2" borderId="23" xfId="0" applyFont="1" applyFill="1" applyBorder="1" applyAlignment="1">
      <alignment horizontal="center" vertical="center"/>
    </xf>
  </cellXfs>
  <cellStyles count="505">
    <cellStyle name="20% - Accent1 2" xfId="9" xr:uid="{00000000-0005-0000-0000-000000000000}"/>
    <cellStyle name="20% - Accent1 2 2" xfId="140" xr:uid="{D4430A47-6C50-4819-A179-40B00B912F8A}"/>
    <cellStyle name="20% - Accent1 2 2 2" xfId="141" xr:uid="{C6E21363-0167-4442-B38E-DF6C342D19EA}"/>
    <cellStyle name="20% - Accent1 2 2 3" xfId="142" xr:uid="{DB71CA23-66AF-4F28-AA3F-0A43F56CEB8F}"/>
    <cellStyle name="20% - Accent1 2 3" xfId="143" xr:uid="{9FB94FC0-C660-45B1-8F25-D19806BB10B6}"/>
    <cellStyle name="20% - Accent1 2 4" xfId="144" xr:uid="{67EC93AD-F8E1-46B4-9E15-B84C7F1620FC}"/>
    <cellStyle name="20% - Accent1 2 5" xfId="421" xr:uid="{42C840EE-C7D6-43F1-897A-D31482BBEFA3}"/>
    <cellStyle name="20% - Accent1 2 6" xfId="389" xr:uid="{990C024F-01E1-42E5-8ED9-2EAD45C04220}"/>
    <cellStyle name="20% - Accent1 3" xfId="8" xr:uid="{00000000-0005-0000-0000-000001000000}"/>
    <cellStyle name="20% - Accent2 2" xfId="11" xr:uid="{00000000-0005-0000-0000-000002000000}"/>
    <cellStyle name="20% - Accent2 2 2" xfId="145" xr:uid="{B0201331-C765-48EA-BD22-D001A77BBA81}"/>
    <cellStyle name="20% - Accent2 2 2 2" xfId="146" xr:uid="{16BC1A6A-2EB6-49B7-A067-1D39ABC7A6BD}"/>
    <cellStyle name="20% - Accent2 2 2 3" xfId="147" xr:uid="{002E4430-6169-4371-9DDC-AE611CF6AFFB}"/>
    <cellStyle name="20% - Accent2 2 3" xfId="148" xr:uid="{444D4A16-303B-4E28-A148-AE68D4C91547}"/>
    <cellStyle name="20% - Accent2 2 4" xfId="149" xr:uid="{C36C47EF-FB2C-462D-995A-2CB8B84708E4}"/>
    <cellStyle name="20% - Accent2 2 5" xfId="422" xr:uid="{5A3072D5-0857-4E02-9300-909AF9E4572D}"/>
    <cellStyle name="20% - Accent2 2 6" xfId="390" xr:uid="{DF518CF3-007D-43C9-8F8B-92BCDCE284A2}"/>
    <cellStyle name="20% - Accent2 3" xfId="10" xr:uid="{00000000-0005-0000-0000-000003000000}"/>
    <cellStyle name="20% - Accent3 2" xfId="13" xr:uid="{00000000-0005-0000-0000-000004000000}"/>
    <cellStyle name="20% - Accent3 2 2" xfId="150" xr:uid="{D7744F8B-2B5C-4433-A14D-53918F11BEF9}"/>
    <cellStyle name="20% - Accent3 2 2 2" xfId="151" xr:uid="{D59EDF24-89DB-4F8D-AA11-BF59A77CA94C}"/>
    <cellStyle name="20% - Accent3 2 2 3" xfId="152" xr:uid="{2BF60247-8657-45C3-8F2B-672F9DFDF4C0}"/>
    <cellStyle name="20% - Accent3 2 3" xfId="153" xr:uid="{B8A1AE89-4516-465F-A281-A8ACDD486EB5}"/>
    <cellStyle name="20% - Accent3 2 4" xfId="154" xr:uid="{31E2DDEA-C046-4CEC-9B72-C05D07635F4A}"/>
    <cellStyle name="20% - Accent3 2 5" xfId="423" xr:uid="{6D8AF2E6-2B4F-4941-BCED-ABDBABD94EA0}"/>
    <cellStyle name="20% - Accent3 2 6" xfId="391" xr:uid="{9E8A887D-B4BE-4287-94CD-15A139739ECB}"/>
    <cellStyle name="20% - Accent3 3" xfId="12" xr:uid="{00000000-0005-0000-0000-000005000000}"/>
    <cellStyle name="20% - Accent4 2" xfId="15" xr:uid="{00000000-0005-0000-0000-000006000000}"/>
    <cellStyle name="20% - Accent4 2 2" xfId="155" xr:uid="{6D8D5E2F-DEEE-4801-932D-EAD05B9E1A8E}"/>
    <cellStyle name="20% - Accent4 2 2 2" xfId="156" xr:uid="{2BA1948D-51BB-41F2-BFA4-3FC1AE00C29A}"/>
    <cellStyle name="20% - Accent4 2 2 3" xfId="157" xr:uid="{2CA4648B-5D1D-44F4-9E53-053CFB1F1C2D}"/>
    <cellStyle name="20% - Accent4 2 3" xfId="158" xr:uid="{93D19441-8D61-4966-B322-1F844C9403FA}"/>
    <cellStyle name="20% - Accent4 2 4" xfId="159" xr:uid="{B08554A6-5EB6-4A85-8324-E9FEE0E7277A}"/>
    <cellStyle name="20% - Accent4 2 5" xfId="424" xr:uid="{F11F005F-FB6D-4977-AFC7-595A2998B3BD}"/>
    <cellStyle name="20% - Accent4 2 6" xfId="392" xr:uid="{7014523B-F4C1-4EE5-AA90-A1703590D51A}"/>
    <cellStyle name="20% - Accent4 3" xfId="14" xr:uid="{00000000-0005-0000-0000-000007000000}"/>
    <cellStyle name="20% - Accent5 2" xfId="17" xr:uid="{00000000-0005-0000-0000-000008000000}"/>
    <cellStyle name="20% - Accent5 2 2" xfId="160" xr:uid="{9D0AE5B2-E27C-4782-A253-89C0AAA521B5}"/>
    <cellStyle name="20% - Accent5 2 2 2" xfId="161" xr:uid="{B9FF811A-BBEF-4E49-B8B6-5F21EF1AF770}"/>
    <cellStyle name="20% - Accent5 2 2 3" xfId="162" xr:uid="{A812B8FF-E6D8-44A0-8D06-78E0DE9BE4C9}"/>
    <cellStyle name="20% - Accent5 2 3" xfId="163" xr:uid="{C99D3300-4F6A-4D3C-8AD9-EF00A75BF69D}"/>
    <cellStyle name="20% - Accent5 2 4" xfId="164" xr:uid="{1B82219C-AB0B-4285-AFC3-4483E5CE8416}"/>
    <cellStyle name="20% - Accent5 2 5" xfId="425" xr:uid="{FC8C0C65-D670-43AF-AC02-9B56E9E4E895}"/>
    <cellStyle name="20% - Accent5 2 6" xfId="393" xr:uid="{71D2C914-72C6-4E8E-94C9-B61965638D3B}"/>
    <cellStyle name="20% - Accent5 3" xfId="16" xr:uid="{00000000-0005-0000-0000-000009000000}"/>
    <cellStyle name="20% - Accent6 2" xfId="19" xr:uid="{00000000-0005-0000-0000-00000A000000}"/>
    <cellStyle name="20% - Accent6 2 2" xfId="165" xr:uid="{CCC7D62C-5D90-45D5-8808-5A88E74141BE}"/>
    <cellStyle name="20% - Accent6 2 2 2" xfId="166" xr:uid="{A9A4C507-070D-4DF4-B077-A550D03AFDB9}"/>
    <cellStyle name="20% - Accent6 2 2 3" xfId="167" xr:uid="{5B123DD2-4D1E-4C92-B766-9B2A6B662744}"/>
    <cellStyle name="20% - Accent6 2 3" xfId="168" xr:uid="{99B1319E-1CFA-4980-A5DF-8399C92A56EF}"/>
    <cellStyle name="20% - Accent6 2 4" xfId="169" xr:uid="{C213AADF-6382-417F-844F-4CB966978D31}"/>
    <cellStyle name="20% - Accent6 2 5" xfId="426" xr:uid="{EABF120C-A296-4416-A528-38807DDA3931}"/>
    <cellStyle name="20% - Accent6 2 6" xfId="394" xr:uid="{6FF458C5-41DF-4E0D-BECA-CCE3CF7E1C39}"/>
    <cellStyle name="20% - Accent6 3" xfId="18" xr:uid="{00000000-0005-0000-0000-00000B000000}"/>
    <cellStyle name="40% - Accent1 2" xfId="21" xr:uid="{00000000-0005-0000-0000-00000C000000}"/>
    <cellStyle name="40% - Accent1 2 2" xfId="170" xr:uid="{C01C5AE6-DF09-4FA3-A062-032425E28DB0}"/>
    <cellStyle name="40% - Accent1 2 2 2" xfId="171" xr:uid="{75DD331D-3FA4-45E3-8AA4-CFE057908FEF}"/>
    <cellStyle name="40% - Accent1 2 2 3" xfId="172" xr:uid="{F8B913F6-4D2C-4DB0-9953-5552C162009F}"/>
    <cellStyle name="40% - Accent1 2 3" xfId="173" xr:uid="{ABAEC8AE-4504-487C-A629-D5C981133014}"/>
    <cellStyle name="40% - Accent1 2 4" xfId="174" xr:uid="{5543C799-B38C-40EE-B3FA-C15AA398AB6C}"/>
    <cellStyle name="40% - Accent1 2 5" xfId="427" xr:uid="{BBB2872F-88C1-446B-8A4A-1D3B1C10C75F}"/>
    <cellStyle name="40% - Accent1 2 6" xfId="395" xr:uid="{389D2E35-98FC-40DF-9639-A6F4B36DF289}"/>
    <cellStyle name="40% - Accent1 3" xfId="20" xr:uid="{00000000-0005-0000-0000-00000D000000}"/>
    <cellStyle name="40% - Accent2 2" xfId="23" xr:uid="{00000000-0005-0000-0000-00000E000000}"/>
    <cellStyle name="40% - Accent2 2 2" xfId="175" xr:uid="{EAB4EF42-F4B2-4DDC-99E3-B937BC974310}"/>
    <cellStyle name="40% - Accent2 2 2 2" xfId="176" xr:uid="{EC557218-A949-4807-9111-EE3BB4C0AE73}"/>
    <cellStyle name="40% - Accent2 2 2 3" xfId="177" xr:uid="{A804A0C9-60D7-4F0E-8FEC-8DEF9ECDF5E6}"/>
    <cellStyle name="40% - Accent2 2 3" xfId="178" xr:uid="{771E7A5D-C551-40C0-B733-A092470BF89E}"/>
    <cellStyle name="40% - Accent2 2 4" xfId="179" xr:uid="{3A32B085-BC00-496A-BF68-8678046D3013}"/>
    <cellStyle name="40% - Accent2 2 5" xfId="428" xr:uid="{39CA9181-A22A-481A-81B7-3A58C4700937}"/>
    <cellStyle name="40% - Accent2 2 6" xfId="396" xr:uid="{D8FBF717-3AC7-4142-9214-054D4340FA0F}"/>
    <cellStyle name="40% - Accent2 3" xfId="22" xr:uid="{00000000-0005-0000-0000-00000F000000}"/>
    <cellStyle name="40% - Accent3 2" xfId="25" xr:uid="{00000000-0005-0000-0000-000010000000}"/>
    <cellStyle name="40% - Accent3 2 2" xfId="180" xr:uid="{324E6E9E-4043-437C-B61B-D0C2592D6244}"/>
    <cellStyle name="40% - Accent3 2 2 2" xfId="181" xr:uid="{453B797D-8413-44D4-A21C-ADDCA92BDF7D}"/>
    <cellStyle name="40% - Accent3 2 2 3" xfId="182" xr:uid="{80E1DE6D-17BB-4C59-8101-682D819B3D07}"/>
    <cellStyle name="40% - Accent3 2 3" xfId="183" xr:uid="{FD0DF9E0-36B6-462D-B285-7813B18026A4}"/>
    <cellStyle name="40% - Accent3 2 4" xfId="184" xr:uid="{FFD3DB59-B320-4269-AE4F-0F582E195A7F}"/>
    <cellStyle name="40% - Accent3 2 5" xfId="429" xr:uid="{3FECFC3F-BDE2-40D4-9E80-BD92D0DF866E}"/>
    <cellStyle name="40% - Accent3 2 6" xfId="397" xr:uid="{72C1EB09-C64F-4F06-9FC5-C4484CD8FAC2}"/>
    <cellStyle name="40% - Accent3 3" xfId="24" xr:uid="{00000000-0005-0000-0000-000011000000}"/>
    <cellStyle name="40% - Accent4 2" xfId="27" xr:uid="{00000000-0005-0000-0000-000012000000}"/>
    <cellStyle name="40% - Accent4 2 2" xfId="185" xr:uid="{30BD2E9C-D04C-43DF-B141-831C611F352D}"/>
    <cellStyle name="40% - Accent4 2 2 2" xfId="186" xr:uid="{D51D3343-1102-46C0-96C5-0DBA9A47C3AE}"/>
    <cellStyle name="40% - Accent4 2 2 3" xfId="187" xr:uid="{EB6D77DD-D429-446E-80F4-7ED93C30AEB8}"/>
    <cellStyle name="40% - Accent4 2 3" xfId="188" xr:uid="{C951122C-7164-49B4-B1E6-C974F0F899DE}"/>
    <cellStyle name="40% - Accent4 2 4" xfId="189" xr:uid="{0E300386-4A55-48E3-AEDC-FFB2CA6CB543}"/>
    <cellStyle name="40% - Accent4 2 5" xfId="430" xr:uid="{602453FD-A165-4CA7-81BF-FF365396B878}"/>
    <cellStyle name="40% - Accent4 2 6" xfId="398" xr:uid="{47B846D6-7CD7-4397-97CF-DBA9820032FE}"/>
    <cellStyle name="40% - Accent4 3" xfId="26" xr:uid="{00000000-0005-0000-0000-000013000000}"/>
    <cellStyle name="40% - Accent5 2" xfId="29" xr:uid="{00000000-0005-0000-0000-000014000000}"/>
    <cellStyle name="40% - Accent5 2 2" xfId="190" xr:uid="{6969375D-83EF-4CDA-9E29-361789230D22}"/>
    <cellStyle name="40% - Accent5 2 2 2" xfId="191" xr:uid="{A3B574FB-2BA4-43DE-AFD7-4E6928B93553}"/>
    <cellStyle name="40% - Accent5 2 2 3" xfId="192" xr:uid="{92FB31C1-16BD-48E9-8A2C-38843AB33585}"/>
    <cellStyle name="40% - Accent5 2 3" xfId="193" xr:uid="{81442311-F513-4DA9-A396-F15C342E18A7}"/>
    <cellStyle name="40% - Accent5 2 4" xfId="194" xr:uid="{070A3BBE-E4A7-4CFE-88D5-A08462E20A3C}"/>
    <cellStyle name="40% - Accent5 2 5" xfId="431" xr:uid="{AAF59FC3-3C73-4569-B1DE-7C704E21FE4F}"/>
    <cellStyle name="40% - Accent5 2 6" xfId="399" xr:uid="{9ED7CAC8-8178-406E-9BD9-EBDE6DBDC5F1}"/>
    <cellStyle name="40% - Accent5 3" xfId="28" xr:uid="{00000000-0005-0000-0000-000015000000}"/>
    <cellStyle name="40% - Accent6 2" xfId="31" xr:uid="{00000000-0005-0000-0000-000016000000}"/>
    <cellStyle name="40% - Accent6 2 2" xfId="195" xr:uid="{CA277A4D-A15C-4BF9-ACA4-C8E4B9F941E7}"/>
    <cellStyle name="40% - Accent6 2 2 2" xfId="196" xr:uid="{229E9EB3-A6F7-4C5A-89EE-D488964C6AD0}"/>
    <cellStyle name="40% - Accent6 2 2 3" xfId="197" xr:uid="{D3C3442F-B426-4ECC-8B41-1C23AF79A69F}"/>
    <cellStyle name="40% - Accent6 2 3" xfId="198" xr:uid="{921EBDFD-77C7-4F21-B256-2B2D9BAA9243}"/>
    <cellStyle name="40% - Accent6 2 4" xfId="199" xr:uid="{0A97143B-35B2-4509-B644-DA306E90FB3A}"/>
    <cellStyle name="40% - Accent6 2 5" xfId="432" xr:uid="{7BD3BB3F-EC6A-442F-BE82-AAFF5D6EBD48}"/>
    <cellStyle name="40% - Accent6 2 6" xfId="400" xr:uid="{AD67D8E6-5573-44E7-8CAA-44F08A19C250}"/>
    <cellStyle name="40% - Accent6 3" xfId="30" xr:uid="{00000000-0005-0000-0000-000017000000}"/>
    <cellStyle name="60% - Accent1 2" xfId="33" xr:uid="{00000000-0005-0000-0000-000018000000}"/>
    <cellStyle name="60% - Accent1 2 2" xfId="200" xr:uid="{7A64732E-6897-45C3-848A-FFE9A0F9D13F}"/>
    <cellStyle name="60% - Accent1 2 2 2" xfId="201" xr:uid="{11B6AA0A-4462-4A53-A8BE-15FF80D6E020}"/>
    <cellStyle name="60% - Accent1 2 2 3" xfId="202" xr:uid="{40266DC5-EEE8-40C8-B7D4-E0390064E831}"/>
    <cellStyle name="60% - Accent1 2 3" xfId="203" xr:uid="{8AF927EF-2F22-4F70-977D-4E90A7439D60}"/>
    <cellStyle name="60% - Accent1 2 4" xfId="204" xr:uid="{2B35BFCE-CACC-4307-893E-9DFBFD2A4143}"/>
    <cellStyle name="60% - Accent1 2 5" xfId="433" xr:uid="{0941C8FE-2494-43E2-A887-FCD13D52DA21}"/>
    <cellStyle name="60% - Accent1 2 6" xfId="401" xr:uid="{55694C05-DF7A-49F5-9AF4-9F616BFA817F}"/>
    <cellStyle name="60% - Accent1 3" xfId="32" xr:uid="{00000000-0005-0000-0000-000019000000}"/>
    <cellStyle name="60% - Accent2 2" xfId="35" xr:uid="{00000000-0005-0000-0000-00001A000000}"/>
    <cellStyle name="60% - Accent2 2 2" xfId="205" xr:uid="{168EF966-7C03-4EC7-8DF0-25146DDE431A}"/>
    <cellStyle name="60% - Accent2 2 2 2" xfId="206" xr:uid="{3BEA3CB4-5A58-416E-AEB1-0C1051FA265A}"/>
    <cellStyle name="60% - Accent2 2 2 3" xfId="207" xr:uid="{EEB4851C-B9E4-4103-A104-1D887D3EE0F9}"/>
    <cellStyle name="60% - Accent2 2 3" xfId="208" xr:uid="{A1C61507-D269-44BD-ADAF-2D42DA9D228E}"/>
    <cellStyle name="60% - Accent2 2 4" xfId="209" xr:uid="{38DC0031-6205-43D0-B531-F6FA834D68F7}"/>
    <cellStyle name="60% - Accent2 2 5" xfId="434" xr:uid="{486F0232-7C12-409C-8BB7-B625733E1E0E}"/>
    <cellStyle name="60% - Accent2 2 6" xfId="402" xr:uid="{D3A0078B-508A-4960-A80F-A9748774EA3B}"/>
    <cellStyle name="60% - Accent2 3" xfId="34" xr:uid="{00000000-0005-0000-0000-00001B000000}"/>
    <cellStyle name="60% - Accent3 2" xfId="37" xr:uid="{00000000-0005-0000-0000-00001C000000}"/>
    <cellStyle name="60% - Accent3 2 2" xfId="210" xr:uid="{14682C27-D9D5-49C8-934D-09BB9B2179A3}"/>
    <cellStyle name="60% - Accent3 2 2 2" xfId="211" xr:uid="{321E8C89-8C2C-43B1-85A9-6BF9B00BAAFC}"/>
    <cellStyle name="60% - Accent3 2 2 3" xfId="212" xr:uid="{67E63E45-347C-44A7-9039-B84754B94F7F}"/>
    <cellStyle name="60% - Accent3 2 3" xfId="213" xr:uid="{3F7735F4-332A-4B19-874B-341AB69C49DA}"/>
    <cellStyle name="60% - Accent3 2 4" xfId="214" xr:uid="{983F203B-A4DF-45ED-8BBD-102B8C91D40B}"/>
    <cellStyle name="60% - Accent3 2 5" xfId="435" xr:uid="{421822BD-2987-4149-AECF-C4872E306E91}"/>
    <cellStyle name="60% - Accent3 2 6" xfId="403" xr:uid="{71E59C8C-A2F2-4E22-945B-41DE93D6AAC3}"/>
    <cellStyle name="60% - Accent3 3" xfId="36" xr:uid="{00000000-0005-0000-0000-00001D000000}"/>
    <cellStyle name="60% - Accent4 2" xfId="39" xr:uid="{00000000-0005-0000-0000-00001E000000}"/>
    <cellStyle name="60% - Accent4 2 2" xfId="215" xr:uid="{E3D7BF09-FE01-44F9-903B-8C801E509D18}"/>
    <cellStyle name="60% - Accent4 2 2 2" xfId="216" xr:uid="{6A7157E3-96B0-4A9D-88F3-D2C17BEA6EE7}"/>
    <cellStyle name="60% - Accent4 2 2 3" xfId="217" xr:uid="{C34DCBF2-D749-4810-9FE0-A477EA9CF435}"/>
    <cellStyle name="60% - Accent4 2 3" xfId="218" xr:uid="{E3C035BE-DCA7-4FB2-A2F6-E6D7F0068780}"/>
    <cellStyle name="60% - Accent4 2 4" xfId="219" xr:uid="{81774C67-DCC0-4E17-917D-4ED42BCA5D96}"/>
    <cellStyle name="60% - Accent4 2 5" xfId="436" xr:uid="{5FF3FB11-C8A4-4991-B98F-1AC84FD5941A}"/>
    <cellStyle name="60% - Accent4 2 6" xfId="404" xr:uid="{31770335-81AD-431A-8957-0B8C03959307}"/>
    <cellStyle name="60% - Accent4 3" xfId="38" xr:uid="{00000000-0005-0000-0000-00001F000000}"/>
    <cellStyle name="60% - Accent5 2" xfId="41" xr:uid="{00000000-0005-0000-0000-000020000000}"/>
    <cellStyle name="60% - Accent5 2 2" xfId="220" xr:uid="{E4520D10-3D7C-4F75-BED1-A12696377467}"/>
    <cellStyle name="60% - Accent5 2 2 2" xfId="221" xr:uid="{C78BE5C3-F988-4388-BCF3-1F1016F81815}"/>
    <cellStyle name="60% - Accent5 2 2 3" xfId="222" xr:uid="{CDE299F6-8BD2-478C-9194-89210F004540}"/>
    <cellStyle name="60% - Accent5 2 3" xfId="223" xr:uid="{FE574E8D-B849-49C8-A535-DA6125BB588D}"/>
    <cellStyle name="60% - Accent5 2 4" xfId="224" xr:uid="{B981F151-4C58-4E71-86DF-13791E2DB691}"/>
    <cellStyle name="60% - Accent5 2 5" xfId="437" xr:uid="{4590238C-4164-4440-8BB9-D9492F8DCFCA}"/>
    <cellStyle name="60% - Accent5 2 6" xfId="405" xr:uid="{80F05D02-539D-4929-9020-DE7A6BA7B485}"/>
    <cellStyle name="60% - Accent5 3" xfId="40" xr:uid="{00000000-0005-0000-0000-000021000000}"/>
    <cellStyle name="60% - Accent6 2" xfId="43" xr:uid="{00000000-0005-0000-0000-000022000000}"/>
    <cellStyle name="60% - Accent6 2 2" xfId="225" xr:uid="{07F659E8-2BDF-43D2-9B9B-7146F0B7161B}"/>
    <cellStyle name="60% - Accent6 2 2 2" xfId="226" xr:uid="{401B682F-F9EB-4B3F-BDF9-75363DDB6AC8}"/>
    <cellStyle name="60% - Accent6 2 2 3" xfId="227" xr:uid="{082E1485-8E65-4B69-8999-61AB55931FF8}"/>
    <cellStyle name="60% - Accent6 2 3" xfId="228" xr:uid="{94CCF68C-FDF6-43E4-B939-FE6D54C844FC}"/>
    <cellStyle name="60% - Accent6 2 4" xfId="229" xr:uid="{724E3B0C-CBAE-4E7E-82DE-C29EBAE029DC}"/>
    <cellStyle name="60% - Accent6 2 5" xfId="438" xr:uid="{C431C97A-74EC-4970-AC99-FB898670D65C}"/>
    <cellStyle name="60% - Accent6 2 6" xfId="406" xr:uid="{D3E1381E-9F82-4FF4-BD85-513401DC823C}"/>
    <cellStyle name="60% - Accent6 3" xfId="42" xr:uid="{00000000-0005-0000-0000-000023000000}"/>
    <cellStyle name="Accent1 2" xfId="45" xr:uid="{00000000-0005-0000-0000-000024000000}"/>
    <cellStyle name="Accent1 2 2" xfId="230" xr:uid="{0564A153-60A4-4BB9-AA70-B5DDE94E95EF}"/>
    <cellStyle name="Accent1 2 2 2" xfId="231" xr:uid="{956BA8C6-AD40-4B90-B57E-AFF7294B81CA}"/>
    <cellStyle name="Accent1 2 2 3" xfId="232" xr:uid="{CCDCF8C6-DA99-4BF9-9387-B63C3C017FDF}"/>
    <cellStyle name="Accent1 2 3" xfId="233" xr:uid="{86EC6A1E-4D9A-49AB-B412-7FA6249B20CE}"/>
    <cellStyle name="Accent1 2 4" xfId="234" xr:uid="{BFB0F078-AA59-4D54-8606-0C4629FD9D45}"/>
    <cellStyle name="Accent1 2 5" xfId="439" xr:uid="{A2FBC114-7D64-476F-88BF-F396CAF3614B}"/>
    <cellStyle name="Accent1 2 6" xfId="407" xr:uid="{293C1F62-4173-475C-9773-E03B79BF5783}"/>
    <cellStyle name="Accent1 3" xfId="44" xr:uid="{00000000-0005-0000-0000-000025000000}"/>
    <cellStyle name="Accent2 2" xfId="47" xr:uid="{00000000-0005-0000-0000-000026000000}"/>
    <cellStyle name="Accent2 2 2" xfId="235" xr:uid="{BDEB5BAC-0E06-4EDC-8711-9BE14F1F3BBB}"/>
    <cellStyle name="Accent2 2 2 2" xfId="236" xr:uid="{A23E21EF-7295-42FA-ACE7-5A595ECD151C}"/>
    <cellStyle name="Accent2 2 2 3" xfId="237" xr:uid="{285E9E2A-5291-400D-8018-589A38BCB058}"/>
    <cellStyle name="Accent2 2 3" xfId="238" xr:uid="{E8514C5C-AC3E-46C6-AA71-8F222C70B424}"/>
    <cellStyle name="Accent2 2 4" xfId="239" xr:uid="{DA9990FF-85C9-4C22-8D56-30E9C01D3E61}"/>
    <cellStyle name="Accent2 2 5" xfId="440" xr:uid="{EC45C0CE-08AC-4894-897B-1E13527B1238}"/>
    <cellStyle name="Accent2 2 6" xfId="408" xr:uid="{39A1F75D-F640-4375-AE85-AF8BA5549E8D}"/>
    <cellStyle name="Accent2 3" xfId="46" xr:uid="{00000000-0005-0000-0000-000027000000}"/>
    <cellStyle name="Accent3 2" xfId="49" xr:uid="{00000000-0005-0000-0000-000028000000}"/>
    <cellStyle name="Accent3 2 2" xfId="240" xr:uid="{2FE7C5CD-24FB-45CC-A648-4EB5545E50B5}"/>
    <cellStyle name="Accent3 2 2 2" xfId="241" xr:uid="{F1483F63-5112-4742-9E69-B0DD069DCA35}"/>
    <cellStyle name="Accent3 2 2 3" xfId="242" xr:uid="{1264BC75-D4A9-4E1A-8DAD-4F8F9B24ED99}"/>
    <cellStyle name="Accent3 2 3" xfId="243" xr:uid="{066B1C3A-2EAA-4A66-B73A-2798A79279C3}"/>
    <cellStyle name="Accent3 2 4" xfId="244" xr:uid="{31A2CF2F-1AE1-4339-84CC-E6BDE9DA9E8B}"/>
    <cellStyle name="Accent3 2 5" xfId="441" xr:uid="{13AFA97E-1625-4F24-B39A-E0341850EDB9}"/>
    <cellStyle name="Accent3 2 6" xfId="409" xr:uid="{0874F678-9EA5-4A08-9FF2-8BFDCE72E739}"/>
    <cellStyle name="Accent3 3" xfId="48" xr:uid="{00000000-0005-0000-0000-000029000000}"/>
    <cellStyle name="Accent4 2" xfId="51" xr:uid="{00000000-0005-0000-0000-00002A000000}"/>
    <cellStyle name="Accent4 2 2" xfId="245" xr:uid="{0C874ACD-F84E-4A40-B253-F27AFE4EF148}"/>
    <cellStyle name="Accent4 2 2 2" xfId="246" xr:uid="{A6FCF02C-CF24-4A51-935E-0FEB69B9F267}"/>
    <cellStyle name="Accent4 2 2 3" xfId="247" xr:uid="{A7A45415-3EA0-4ADA-864A-485D11F82F43}"/>
    <cellStyle name="Accent4 2 3" xfId="248" xr:uid="{7906E5CA-91DD-44F8-8302-D18008C46E52}"/>
    <cellStyle name="Accent4 2 4" xfId="249" xr:uid="{64F3E141-5D76-4E3A-BC6D-FC1A1DCC7757}"/>
    <cellStyle name="Accent4 2 5" xfId="442" xr:uid="{7E8F50CA-8D4E-48F2-8B92-625E87A81F16}"/>
    <cellStyle name="Accent4 2 6" xfId="410" xr:uid="{A95A7059-0AF6-4652-875F-970B22E39468}"/>
    <cellStyle name="Accent4 3" xfId="50" xr:uid="{00000000-0005-0000-0000-00002B000000}"/>
    <cellStyle name="Accent5 2" xfId="53" xr:uid="{00000000-0005-0000-0000-00002C000000}"/>
    <cellStyle name="Accent5 2 2" xfId="250" xr:uid="{59A205DB-D571-48EA-B2EB-0A5F18404C4C}"/>
    <cellStyle name="Accent5 2 2 2" xfId="251" xr:uid="{F8B8C1AC-ED1B-4AAB-AD29-F649CDEEABEB}"/>
    <cellStyle name="Accent5 2 2 3" xfId="252" xr:uid="{EE00C99B-264D-4E14-87AB-A3DA83782539}"/>
    <cellStyle name="Accent5 2 3" xfId="253" xr:uid="{4CF5D0BD-11FD-4205-8BB6-1598AB19F50E}"/>
    <cellStyle name="Accent5 2 4" xfId="254" xr:uid="{C3ADCE32-DBAD-43A1-A85B-0FD4B25D1DE8}"/>
    <cellStyle name="Accent5 2 5" xfId="443" xr:uid="{9373FE8E-DB56-4437-A7F6-AE69C5BE6268}"/>
    <cellStyle name="Accent5 2 6" xfId="411" xr:uid="{A91F7E27-76C8-4352-B959-9578F8A1FB76}"/>
    <cellStyle name="Accent5 3" xfId="52" xr:uid="{00000000-0005-0000-0000-00002D000000}"/>
    <cellStyle name="Accent6 2" xfId="55" xr:uid="{00000000-0005-0000-0000-00002E000000}"/>
    <cellStyle name="Accent6 2 2" xfId="255" xr:uid="{FFD427B5-00AC-408E-8B88-055C5F654FEE}"/>
    <cellStyle name="Accent6 2 2 2" xfId="256" xr:uid="{97FE9EE3-785A-4C35-909D-AB28065ECF3B}"/>
    <cellStyle name="Accent6 2 2 3" xfId="257" xr:uid="{A8E495BA-4292-4454-8458-E543257661B9}"/>
    <cellStyle name="Accent6 2 3" xfId="258" xr:uid="{79C32501-EE60-4415-BF93-B1D0E42A3F59}"/>
    <cellStyle name="Accent6 2 4" xfId="259" xr:uid="{4977CB7F-30EF-4FC0-8A83-6CC372244E49}"/>
    <cellStyle name="Accent6 2 5" xfId="444" xr:uid="{43E917CA-8E44-4625-9A5D-1617617D1608}"/>
    <cellStyle name="Accent6 2 6" xfId="412" xr:uid="{CBE1D851-1DE5-4704-B800-674B0F6342D5}"/>
    <cellStyle name="Accent6 3" xfId="54" xr:uid="{00000000-0005-0000-0000-00002F000000}"/>
    <cellStyle name="Bad 2" xfId="57" xr:uid="{00000000-0005-0000-0000-000030000000}"/>
    <cellStyle name="Bad 2 2" xfId="260" xr:uid="{67E1C90F-2BE0-4C46-A092-46EE46C7B453}"/>
    <cellStyle name="Bad 2 2 2" xfId="261" xr:uid="{40EB8341-9D87-40D0-8B05-BE241D2FE087}"/>
    <cellStyle name="Bad 2 2 3" xfId="262" xr:uid="{76E93D01-BA0B-4B66-813C-87BD8417FA94}"/>
    <cellStyle name="Bad 2 3" xfId="263" xr:uid="{C52D4825-64B5-4404-94B5-F75A990979CA}"/>
    <cellStyle name="Bad 2 4" xfId="264" xr:uid="{215068A0-C9A2-446E-94ED-E114D44759BE}"/>
    <cellStyle name="Bad 2 5" xfId="445" xr:uid="{7E6C7D29-35DA-484B-A82E-97C87E3F8549}"/>
    <cellStyle name="Bad 2 6" xfId="413" xr:uid="{1FB0BDB9-D59F-495B-B4F8-BE498238D18F}"/>
    <cellStyle name="Bad 3" xfId="56" xr:uid="{00000000-0005-0000-0000-000031000000}"/>
    <cellStyle name="Calculation 2" xfId="59" xr:uid="{00000000-0005-0000-0000-000032000000}"/>
    <cellStyle name="Calculation 2 2" xfId="265" xr:uid="{10FC91BA-5B1A-45B8-903B-4B686EF492AE}"/>
    <cellStyle name="Calculation 2 2 2" xfId="266" xr:uid="{0803D00C-825B-48EC-B01E-20B7702AFCD8}"/>
    <cellStyle name="Calculation 2 2 3" xfId="267" xr:uid="{1F213958-8B4F-4E24-B46B-B3C0F97878F8}"/>
    <cellStyle name="Calculation 2 2 4" xfId="384" xr:uid="{8A9942A4-6236-4409-B620-DC7ADE74A60F}"/>
    <cellStyle name="Calculation 2 3" xfId="268" xr:uid="{DB975472-3BE0-49A0-9284-966EEA834043}"/>
    <cellStyle name="Calculation 2 4" xfId="269" xr:uid="{C6B6662A-0B03-4D12-8A85-4B4335116EB0}"/>
    <cellStyle name="Calculation 2 4 2" xfId="372" xr:uid="{1BE3B5E1-EE05-49F7-AD5F-15D3324F4CF1}"/>
    <cellStyle name="Calculation 2 5" xfId="446" xr:uid="{50909C83-3978-4C13-9481-E5AFF1646AF0}"/>
    <cellStyle name="Calculation 2 6" xfId="414" xr:uid="{E62C7E56-48D3-48B1-A20A-FF134C25044C}"/>
    <cellStyle name="Calculation 3" xfId="58" xr:uid="{00000000-0005-0000-0000-000033000000}"/>
    <cellStyle name="Calculation 3 2" xfId="104" xr:uid="{00000000-0005-0000-0000-000034000000}"/>
    <cellStyle name="Calculation 3 2 2" xfId="383" xr:uid="{50099261-E29F-4ABF-B5AD-7B97D7268286}"/>
    <cellStyle name="Calculation 3 3" xfId="118" xr:uid="{7C7AF677-22E2-4D7F-AB9B-3302F1776501}"/>
    <cellStyle name="Calculation 3 3 2" xfId="498" xr:uid="{CB467E1E-9D55-4F53-9755-F5BCED28DBFA}"/>
    <cellStyle name="Calculation 3 4" xfId="270" xr:uid="{8A68F75B-110C-4983-96D3-2782CC8CD84F}"/>
    <cellStyle name="Calculation 4" xfId="96" xr:uid="{00000000-0005-0000-0000-000035000000}"/>
    <cellStyle name="Calculation 4 2" xfId="494" xr:uid="{D1C20661-BB85-443B-90B4-8AD60ED9CF44}"/>
    <cellStyle name="Check Cell 2" xfId="61" xr:uid="{00000000-0005-0000-0000-000036000000}"/>
    <cellStyle name="Check Cell 2 2" xfId="271" xr:uid="{4EEA3075-3B21-4DED-8F76-E81D28E93BAB}"/>
    <cellStyle name="Check Cell 2 2 2" xfId="272" xr:uid="{07275654-7F96-41AC-8EED-CC4D82C7195F}"/>
    <cellStyle name="Check Cell 2 2 3" xfId="273" xr:uid="{C1EA348B-E797-4EC7-AE60-DDC9F63179D3}"/>
    <cellStyle name="Check Cell 2 3" xfId="274" xr:uid="{ABC2B9F9-C823-4BFC-A728-C9C0994EF2B8}"/>
    <cellStyle name="Check Cell 2 4" xfId="275" xr:uid="{81CDBBE0-773C-4EC2-8926-98D3A65CF1B3}"/>
    <cellStyle name="Check Cell 2 5" xfId="447" xr:uid="{B548A902-BA41-4C28-B637-2471318DB406}"/>
    <cellStyle name="Check Cell 2 6" xfId="415" xr:uid="{0F77C744-5446-4554-A02A-3841547BD1EC}"/>
    <cellStyle name="Check Cell 3" xfId="60" xr:uid="{00000000-0005-0000-0000-000037000000}"/>
    <cellStyle name="Comma" xfId="489" builtinId="3"/>
    <cellStyle name="Comma [0] 2" xfId="99" xr:uid="{00000000-0005-0000-0000-000039000000}"/>
    <cellStyle name="Comma [0] 2 2" xfId="101" xr:uid="{00000000-0005-0000-0000-00003A000000}"/>
    <cellStyle name="Comma [0] 2 2 2" xfId="357" xr:uid="{651F4B1B-770F-4C54-B69F-4D0EE7A5AB58}"/>
    <cellStyle name="Comma [0] 2 3" xfId="136" xr:uid="{7751FF17-1111-4019-A3F7-B1FB883240C5}"/>
    <cellStyle name="Comma [0] 2 3 2" xfId="467" xr:uid="{719ACA15-633B-46C5-82DB-B49079110092}"/>
    <cellStyle name="Comma [0] 3" xfId="94" xr:uid="{00000000-0005-0000-0000-00003B000000}"/>
    <cellStyle name="Comma [0] 3 2" xfId="351" xr:uid="{2824017C-E331-412C-B8B8-B9D5DE5B54EF}"/>
    <cellStyle name="Comma [0] 3 3" xfId="353" xr:uid="{340E4190-E036-4F3A-B998-A11F1B775504}"/>
    <cellStyle name="Comma [0] 3 4" xfId="135" xr:uid="{2156BEFD-F6FF-4B1E-96FA-01B2434A2785}"/>
    <cellStyle name="Comma 2" xfId="2" xr:uid="{00000000-0005-0000-0000-00003C000000}"/>
    <cellStyle name="Comma 2 2" xfId="130" xr:uid="{11E8A292-BB38-4971-8698-03DDCEC28C25}"/>
    <cellStyle name="Comma 2 2 2" xfId="352" xr:uid="{0DED68ED-D3C4-4CE0-8C2D-27C34FDD4AB6}"/>
    <cellStyle name="Comma 2 2 3" xfId="134" xr:uid="{9BA62E31-91D9-4F4B-8DC9-B971CBAC92F9}"/>
    <cellStyle name="Currency 2" xfId="100" xr:uid="{00000000-0005-0000-0000-00003D000000}"/>
    <cellStyle name="Explanatory Text 2" xfId="63" xr:uid="{00000000-0005-0000-0000-00003E000000}"/>
    <cellStyle name="Explanatory Text 2 2" xfId="276" xr:uid="{75EC6160-7069-4E90-90D8-C0851A5537DE}"/>
    <cellStyle name="Explanatory Text 2 2 2" xfId="277" xr:uid="{8E4C8980-EAF9-405C-8BD4-8FD2F8CD12CF}"/>
    <cellStyle name="Explanatory Text 2 2 3" xfId="278" xr:uid="{C8E65EFA-70BE-4AC6-83E5-C1AD992D9B4A}"/>
    <cellStyle name="Explanatory Text 2 3" xfId="279" xr:uid="{0AED91FA-52B5-4995-BEF3-AE6FCFF78500}"/>
    <cellStyle name="Explanatory Text 2 4" xfId="280" xr:uid="{1DDF4226-5E2D-4FB6-8FD4-9A36AE369CEF}"/>
    <cellStyle name="Explanatory Text 2 5" xfId="448" xr:uid="{1D3472F8-86D3-4B6B-9F76-D7A334218EF8}"/>
    <cellStyle name="Explanatory Text 2 6" xfId="473" xr:uid="{85058B36-C067-48F3-9069-624AAB71D440}"/>
    <cellStyle name="Explanatory Text 3" xfId="62" xr:uid="{00000000-0005-0000-0000-00003F000000}"/>
    <cellStyle name="Good 2" xfId="65" xr:uid="{00000000-0005-0000-0000-000040000000}"/>
    <cellStyle name="Good 2 2" xfId="281" xr:uid="{36F6BA8B-5A36-44AF-B499-AD5B5BC8C720}"/>
    <cellStyle name="Good 2 2 2" xfId="282" xr:uid="{C94DB224-90C5-467F-B241-16F90D7C8D2F}"/>
    <cellStyle name="Good 2 2 3" xfId="283" xr:uid="{54345717-F411-44B7-967C-A2563D7CDC1C}"/>
    <cellStyle name="Good 2 3" xfId="284" xr:uid="{6F3FFA4C-6D8C-4A84-AE7F-0AE939C3DB70}"/>
    <cellStyle name="Good 2 4" xfId="285" xr:uid="{FFF5E21B-E0EF-4571-AF82-30254219B0DC}"/>
    <cellStyle name="Good 2 5" xfId="449" xr:uid="{27B71B5E-C888-4437-9F4B-C8421298E926}"/>
    <cellStyle name="Good 2 6" xfId="416" xr:uid="{2F4D15B9-A17D-4063-995E-C9C046FAD6AC}"/>
    <cellStyle name="Good 3" xfId="64" xr:uid="{00000000-0005-0000-0000-000041000000}"/>
    <cellStyle name="Heading 1 2" xfId="67" xr:uid="{00000000-0005-0000-0000-000042000000}"/>
    <cellStyle name="Heading 1 2 2" xfId="286" xr:uid="{8BE7A966-6AD5-48E7-8C1D-C128A6B9F89A}"/>
    <cellStyle name="Heading 1 2 2 2" xfId="287" xr:uid="{7510523C-4FF1-448A-9DFF-2A02D0CC0BD5}"/>
    <cellStyle name="Heading 1 2 2 3" xfId="288" xr:uid="{6F62E670-B2CC-4C13-8E17-865FA080CB82}"/>
    <cellStyle name="Heading 1 2 3" xfId="289" xr:uid="{8B47647F-E773-438A-A934-95BC6DCF5E3D}"/>
    <cellStyle name="Heading 1 2 4" xfId="290" xr:uid="{EB788BD8-0E16-4920-BDF9-E6CE8584A11D}"/>
    <cellStyle name="Heading 1 2 5" xfId="450" xr:uid="{E0CDA824-1B88-4EEC-8FF8-ACCCF201A568}"/>
    <cellStyle name="Heading 1 2 6" xfId="474" xr:uid="{BD3428F5-6EE6-45B4-BD04-95B56767A5C8}"/>
    <cellStyle name="Heading 1 3" xfId="66" xr:uid="{00000000-0005-0000-0000-000043000000}"/>
    <cellStyle name="Heading 2 2" xfId="69" xr:uid="{00000000-0005-0000-0000-000044000000}"/>
    <cellStyle name="Heading 2 2 2" xfId="291" xr:uid="{24708B69-87A8-4EF9-BD2C-85FDED223DD3}"/>
    <cellStyle name="Heading 2 2 2 2" xfId="292" xr:uid="{1DC9BBE5-AFB1-4045-B81B-1454FF4657A7}"/>
    <cellStyle name="Heading 2 2 2 3" xfId="293" xr:uid="{94858CBE-8777-4F96-856B-3931A2A9CAA5}"/>
    <cellStyle name="Heading 2 2 3" xfId="294" xr:uid="{CD89A5FF-DBF2-4CA6-A882-15308A00DC29}"/>
    <cellStyle name="Heading 2 2 4" xfId="295" xr:uid="{98622CD0-154D-41C5-B444-C96186F75511}"/>
    <cellStyle name="Heading 2 2 5" xfId="451" xr:uid="{2D3C1EA8-45AA-4159-AE9B-C506BCFFC7BF}"/>
    <cellStyle name="Heading 2 2 6" xfId="475" xr:uid="{34B0EE2C-527C-46F2-8C92-5B4C6E51EE49}"/>
    <cellStyle name="Heading 2 3" xfId="68" xr:uid="{00000000-0005-0000-0000-000045000000}"/>
    <cellStyle name="Heading 3 2" xfId="71" xr:uid="{00000000-0005-0000-0000-000046000000}"/>
    <cellStyle name="Heading 3 2 2" xfId="296" xr:uid="{4D5A3A28-B7AF-4056-938E-F654EF6911CE}"/>
    <cellStyle name="Heading 3 2 2 2" xfId="297" xr:uid="{A79F1BF9-8D33-499C-B163-65488FA0AE95}"/>
    <cellStyle name="Heading 3 2 2 3" xfId="298" xr:uid="{9FEF581D-AF7E-4F20-A0C6-60DCBE985B32}"/>
    <cellStyle name="Heading 3 2 3" xfId="299" xr:uid="{BD1C82FD-C733-4E51-B1D2-BEBC34452933}"/>
    <cellStyle name="Heading 3 2 4" xfId="300" xr:uid="{AFEFE1F1-D4CB-4409-8475-9852761FC914}"/>
    <cellStyle name="Heading 3 2 5" xfId="452" xr:uid="{9A3D9E08-FB5E-41CF-8E7A-B2022F73F0FE}"/>
    <cellStyle name="Heading 3 2 6" xfId="476" xr:uid="{464FBF92-A3F6-4C1A-921F-EF86BA900280}"/>
    <cellStyle name="Heading 3 3" xfId="70" xr:uid="{00000000-0005-0000-0000-000047000000}"/>
    <cellStyle name="Heading 4 2" xfId="73" xr:uid="{00000000-0005-0000-0000-000048000000}"/>
    <cellStyle name="Heading 4 2 2" xfId="301" xr:uid="{3F81815F-7A91-4D8D-86B2-8E2851D63D8B}"/>
    <cellStyle name="Heading 4 2 2 2" xfId="302" xr:uid="{A4BA7785-AA4D-43DF-ACDD-3F4D65B44A6E}"/>
    <cellStyle name="Heading 4 2 2 3" xfId="303" xr:uid="{908C3D42-CBDE-48A3-8CDC-65BBD4F0B5CC}"/>
    <cellStyle name="Heading 4 2 3" xfId="304" xr:uid="{05958457-BCD8-4A9B-AD46-796253C9FFFD}"/>
    <cellStyle name="Heading 4 2 4" xfId="305" xr:uid="{14FD0B19-A07E-414F-A541-397987D99C98}"/>
    <cellStyle name="Heading 4 2 5" xfId="453" xr:uid="{FECDFCD5-5722-4C4A-B22B-34A0193B9A07}"/>
    <cellStyle name="Heading 4 2 6" xfId="477" xr:uid="{708D42D2-85FB-4093-B11C-266EE309C777}"/>
    <cellStyle name="Heading 4 3" xfId="72" xr:uid="{00000000-0005-0000-0000-000049000000}"/>
    <cellStyle name="Input 2" xfId="75" xr:uid="{00000000-0005-0000-0000-00004A000000}"/>
    <cellStyle name="Input 2 2" xfId="306" xr:uid="{748B112E-03E0-407A-9124-96D9CF460F82}"/>
    <cellStyle name="Input 2 2 2" xfId="307" xr:uid="{4F4B4D8A-AD87-45FF-BF51-3D525853D9BC}"/>
    <cellStyle name="Input 2 2 3" xfId="308" xr:uid="{8366693D-2E44-4189-9098-A74720975B0F}"/>
    <cellStyle name="Input 2 2 4" xfId="382" xr:uid="{8B6DE9CA-B9A4-4960-A110-88D794CCD760}"/>
    <cellStyle name="Input 2 3" xfId="309" xr:uid="{ABE9AF0F-2A9C-437C-8709-B2A1A99CA312}"/>
    <cellStyle name="Input 2 4" xfId="310" xr:uid="{73023A5B-AD97-46B9-8591-8E0F79527FD3}"/>
    <cellStyle name="Input 2 4 2" xfId="381" xr:uid="{F288A21B-1705-4A18-9472-4E9EF209E36B}"/>
    <cellStyle name="Input 2 5" xfId="454" xr:uid="{D62EDB1F-2E0F-4695-8A70-5E437FC578A7}"/>
    <cellStyle name="Input 2 6" xfId="417" xr:uid="{71FCF6C3-5833-4576-AAC7-5062166E8E42}"/>
    <cellStyle name="Input 3" xfId="74" xr:uid="{00000000-0005-0000-0000-00004B000000}"/>
    <cellStyle name="Input 3 2" xfId="105" xr:uid="{00000000-0005-0000-0000-00004C000000}"/>
    <cellStyle name="Input 3 2 2" xfId="371" xr:uid="{0DAB260C-8F52-4351-820B-1B920B19BEFF}"/>
    <cellStyle name="Input 3 3" xfId="119" xr:uid="{616A7057-478A-4A48-97A3-AD3C5AFD0888}"/>
    <cellStyle name="Input 3 3 2" xfId="499" xr:uid="{E096878C-7C38-4F15-8EA6-3BAB2085E88A}"/>
    <cellStyle name="Input 3 4" xfId="311" xr:uid="{92FAD26F-7ED6-497A-9044-DF94BAD33062}"/>
    <cellStyle name="Input 4" xfId="95" xr:uid="{00000000-0005-0000-0000-00004D000000}"/>
    <cellStyle name="Input 4 2" xfId="493" xr:uid="{D73C9C68-3E09-42EB-A07F-E3F191A5A71A}"/>
    <cellStyle name="Linked Cell 2" xfId="77" xr:uid="{00000000-0005-0000-0000-00004E000000}"/>
    <cellStyle name="Linked Cell 2 2" xfId="312" xr:uid="{8F52A239-9A6F-4923-A614-8EA4168A57AC}"/>
    <cellStyle name="Linked Cell 2 2 2" xfId="313" xr:uid="{DF0BF5C0-DCD8-429B-A80D-220AAFE77716}"/>
    <cellStyle name="Linked Cell 2 2 3" xfId="314" xr:uid="{0A0B24D5-E961-4B9B-9843-5732ACBD3A9B}"/>
    <cellStyle name="Linked Cell 2 3" xfId="315" xr:uid="{953E12E8-8058-4B02-811A-F83FCDAAF461}"/>
    <cellStyle name="Linked Cell 2 4" xfId="316" xr:uid="{34F6D925-4001-4251-A5F8-429A9E25E4C2}"/>
    <cellStyle name="Linked Cell 2 5" xfId="455" xr:uid="{F0F941B0-5939-457C-8EA0-20B95BC1FA29}"/>
    <cellStyle name="Linked Cell 2 6" xfId="478" xr:uid="{F458F39D-761B-4B7D-8152-6E4E905E98DD}"/>
    <cellStyle name="Linked Cell 3" xfId="76" xr:uid="{00000000-0005-0000-0000-00004F000000}"/>
    <cellStyle name="Neutral 2" xfId="79" xr:uid="{00000000-0005-0000-0000-000050000000}"/>
    <cellStyle name="Neutral 2 2" xfId="317" xr:uid="{D99D044A-A807-4722-9AEC-A635A6710BCE}"/>
    <cellStyle name="Neutral 2 2 2" xfId="318" xr:uid="{77EDB65A-A947-4411-8FE7-DE1631FED3AC}"/>
    <cellStyle name="Neutral 2 2 3" xfId="319" xr:uid="{1C930957-32AD-4C58-8258-DC193D4EADF5}"/>
    <cellStyle name="Neutral 2 3" xfId="320" xr:uid="{5BC3536E-D68C-4E23-AE96-FDA006EE95A1}"/>
    <cellStyle name="Neutral 2 4" xfId="321" xr:uid="{4DB89FAF-D864-4F1C-8AF7-3AB263D68B3E}"/>
    <cellStyle name="Neutral 2 5" xfId="456" xr:uid="{28761077-0ACA-428B-B4F6-23FF623B1EA4}"/>
    <cellStyle name="Neutral 2 6" xfId="418" xr:uid="{E208B471-3634-4B64-853D-30D5E876FB4F}"/>
    <cellStyle name="Neutral 3" xfId="78" xr:uid="{00000000-0005-0000-0000-000051000000}"/>
    <cellStyle name="Normal" xfId="0" builtinId="0"/>
    <cellStyle name="Normal 10" xfId="129" xr:uid="{A45C9E63-A9FC-47BA-A2DB-4CAF93DCF966}"/>
    <cellStyle name="Normal 11" xfId="112" xr:uid="{E21A8787-8FA0-4086-8258-B2305E4B6ECD}"/>
    <cellStyle name="Normal 11 2" xfId="465" xr:uid="{CF5D73DE-9F90-4D52-AF00-B9A80BA4A5CC}"/>
    <cellStyle name="Normal 12" xfId="114" xr:uid="{2BC3A2CF-7210-4BCC-A56C-7C756F81943F}"/>
    <cellStyle name="Normal 12 2" xfId="464" xr:uid="{3153114B-E9CE-4343-B62C-A2E6DD35E786}"/>
    <cellStyle name="Normal 13" xfId="113" xr:uid="{886D2D13-B89E-4294-9AE0-5FFD4AA66299}"/>
    <cellStyle name="Normal 13 2" xfId="485" xr:uid="{BD09448D-E164-4241-A9F2-F7DA64D43172}"/>
    <cellStyle name="Normal 13 2 2" xfId="504" xr:uid="{DA9B8AAD-8B8B-427A-B9C6-02758C816F1F}"/>
    <cellStyle name="Normal 13 3" xfId="486" xr:uid="{50ECFE4F-46C6-4D61-BE93-3A39B2FE2925}"/>
    <cellStyle name="Normal 14" xfId="131" xr:uid="{976E431B-3328-4AD6-BD15-EFA6118221BC}"/>
    <cellStyle name="Normal 15" xfId="491" xr:uid="{1F73E505-A8DC-49DB-BE40-1B4A6B73831C}"/>
    <cellStyle name="Normal 2" xfId="3" xr:uid="{00000000-0005-0000-0000-000053000000}"/>
    <cellStyle name="Normal 2 2" xfId="4" xr:uid="{00000000-0005-0000-0000-000054000000}"/>
    <cellStyle name="Normal 2 2 2" xfId="132" xr:uid="{EC253398-FB26-4DA9-A5D3-B82EA7E712B4}"/>
    <cellStyle name="Normal 2 2 2 2" xfId="484" xr:uid="{C94F05B2-5A7A-4EEF-A2DC-9A662EBCEBAA}"/>
    <cellStyle name="Normal 2 2 2 4" xfId="490" xr:uid="{E79D4F91-0425-4083-BF8E-99CC7AF75092}"/>
    <cellStyle name="Normal 2 3" xfId="116" xr:uid="{495F23EC-D00D-4E0F-B0DF-8CDD059F2ACD}"/>
    <cellStyle name="Normal 2 3 2" xfId="358" xr:uid="{6D351DDE-0B4C-47D4-9500-76F8226FE12B}"/>
    <cellStyle name="Normal 2 3 3" xfId="387" xr:uid="{E9249C0D-E56A-43E4-99BA-B92DDD026F46}"/>
    <cellStyle name="Normal 2 3 4" xfId="469" xr:uid="{F8051EDD-A5A2-4383-9FB9-85B058312B21}"/>
    <cellStyle name="Normal 2 3 5" xfId="463" xr:uid="{279D0000-A453-4427-A354-201C396CA9E0}"/>
    <cellStyle name="Normal 2 4" xfId="115" xr:uid="{627D9709-254D-4245-BFC4-5C25B939AC11}"/>
    <cellStyle name="Normal 2 4 2" xfId="354" xr:uid="{20F65400-5A69-4248-904F-BBC5DD5756C8}"/>
    <cellStyle name="Normal 2 4 3" xfId="138" xr:uid="{548F1075-C0C4-4E0E-9516-519F4AE80529}"/>
    <cellStyle name="Normal 2 5" xfId="133" xr:uid="{FE12F63B-13B1-4561-BB3C-28A6D4F4381A}"/>
    <cellStyle name="Normal 21" xfId="488" xr:uid="{437200C5-2019-4936-96AD-D91D1ED769F3}"/>
    <cellStyle name="Normal 3" xfId="1" xr:uid="{00000000-0005-0000-0000-000055000000}"/>
    <cellStyle name="Normal 3 2" xfId="125" xr:uid="{15A84F77-C565-4DB3-945E-8B16C8F4BB8E}"/>
    <cellStyle name="Normal 3 2 2" xfId="355" xr:uid="{D929C4FC-03A2-4597-957D-C01782DD9D20}"/>
    <cellStyle name="Normal 3 2 2 2" xfId="483" xr:uid="{DAE08905-E875-4ADE-900D-E2EF93CBD0EB}"/>
    <cellStyle name="Normal 3 2 3" xfId="139" xr:uid="{BA10D347-C52E-4D43-AAA0-A674E1F0CA06}"/>
    <cellStyle name="Normal 3 3" xfId="137" xr:uid="{E2AFE99A-B14B-4BC6-9140-FD2AF26DBD6E}"/>
    <cellStyle name="Normal 4" xfId="5" xr:uid="{00000000-0005-0000-0000-000056000000}"/>
    <cellStyle name="Normal 4 2" xfId="80" xr:uid="{00000000-0005-0000-0000-000057000000}"/>
    <cellStyle name="Normal 4 3" xfId="93" xr:uid="{00000000-0005-0000-0000-000058000000}"/>
    <cellStyle name="Normal 4 3 2" xfId="470" xr:uid="{EA65B3CB-8B90-4912-BA68-EED8685115D0}"/>
    <cellStyle name="Normal 4 4" xfId="109" xr:uid="{00000000-0005-0000-0000-000059000000}"/>
    <cellStyle name="Normal 5" xfId="91" xr:uid="{00000000-0005-0000-0000-00005A000000}"/>
    <cellStyle name="Normal 5 2" xfId="110" xr:uid="{00000000-0005-0000-0000-00005B000000}"/>
    <cellStyle name="Normal 5 2 2" xfId="359" xr:uid="{B33C4C7B-365D-4944-AD39-387AF3E05FA5}"/>
    <cellStyle name="Normal 5 2 3" xfId="322" xr:uid="{FC11E32B-21F2-4D4B-8100-D706ADDD364E}"/>
    <cellStyle name="Normal 5 3" xfId="6" xr:uid="{00000000-0005-0000-0000-00005C000000}"/>
    <cellStyle name="Normal 5 3 2" xfId="360" xr:uid="{8316DC73-BFD4-47EA-9C45-C9F99C8DBF84}"/>
    <cellStyle name="Normal 5 4" xfId="123" xr:uid="{3DBA794E-358B-45C7-A5C5-4FFCB3DDE3AF}"/>
    <cellStyle name="Normal 5 5" xfId="385" xr:uid="{420536E7-7AD8-4524-B628-0166B0684708}"/>
    <cellStyle name="Normal 5 5 2" xfId="472" xr:uid="{FC17F34B-E524-4969-BDE2-295D376043F5}"/>
    <cellStyle name="Normal 5 6" xfId="388" xr:uid="{0B32C3DD-9C7B-4D18-AE7B-D83480B57BFF}"/>
    <cellStyle name="Normal 6" xfId="92" xr:uid="{00000000-0005-0000-0000-00005D000000}"/>
    <cellStyle name="Normal 6 2" xfId="111" xr:uid="{00000000-0005-0000-0000-00005E000000}"/>
    <cellStyle name="Normal 6 2 2" xfId="386" xr:uid="{86BAE152-0D89-48ED-B8E6-BF33C5F1E7C3}"/>
    <cellStyle name="Normal 6 2 3" xfId="466" xr:uid="{2AF13985-B811-4E16-AA09-06EACD3D8B59}"/>
    <cellStyle name="Normal 6 3" xfId="124" xr:uid="{353C1434-1637-4527-A292-D0A6F45C2C00}"/>
    <cellStyle name="Normal 6 3 2" xfId="468" xr:uid="{E18D81B6-C08A-431E-AC9E-1F20DE152C1E}"/>
    <cellStyle name="Normal 6 4" xfId="117" xr:uid="{9BFA9FB3-359F-4800-A1D3-2FD9F4287423}"/>
    <cellStyle name="Normal 6 4 2" xfId="471" xr:uid="{B4D446D4-DFBA-457D-8225-CD77F0967A96}"/>
    <cellStyle name="Normal 7" xfId="102" xr:uid="{00000000-0005-0000-0000-00005F000000}"/>
    <cellStyle name="Normal 7 2" xfId="126" xr:uid="{10937E67-5C48-4F4F-A138-6818AC9783A4}"/>
    <cellStyle name="Normal 8" xfId="103" xr:uid="{00000000-0005-0000-0000-000060000000}"/>
    <cellStyle name="Normal 8 2" xfId="127" xr:uid="{C99FA36B-4D8A-4513-8DDA-BEA3659D7BAE}"/>
    <cellStyle name="Normal 8 3" xfId="487" xr:uid="{13DF51E6-8297-4BB6-BB3B-AF2C6377EF7A}"/>
    <cellStyle name="Normal 9" xfId="108" xr:uid="{00000000-0005-0000-0000-000061000000}"/>
    <cellStyle name="Normal 9 2" xfId="128" xr:uid="{528D16B6-D96B-4758-98DC-1EE500B75C30}"/>
    <cellStyle name="Normal 9 3" xfId="497" xr:uid="{788469DF-02AD-4B94-9288-94F8D1AF4CE7}"/>
    <cellStyle name="Note 2" xfId="82" xr:uid="{00000000-0005-0000-0000-000062000000}"/>
    <cellStyle name="Note 2 2" xfId="323" xr:uid="{AEB067A4-A1D6-441C-93EF-BCA9195F18A1}"/>
    <cellStyle name="Note 2 2 2" xfId="324" xr:uid="{1ECF63B7-54FA-4AA5-96EE-EB0225616C06}"/>
    <cellStyle name="Note 2 2 2 2" xfId="362" xr:uid="{8E3099D1-7E28-4401-86F5-1F57DFDEB5EB}"/>
    <cellStyle name="Note 2 2 3" xfId="325" xr:uid="{90F52582-B1DA-42F3-B3A9-DB2EB942753C}"/>
    <cellStyle name="Note 2 2 3 2" xfId="363" xr:uid="{CAD72CB0-FAB0-421A-9F9D-6358E75E84D8}"/>
    <cellStyle name="Note 2 2 4" xfId="361" xr:uid="{6A8461AD-3C45-4CEC-97D1-8B26AEBBBFD8}"/>
    <cellStyle name="Note 2 2 4 2" xfId="374" xr:uid="{79BA973F-A71D-4074-8142-AA525173358E}"/>
    <cellStyle name="Note 2 2 5" xfId="380" xr:uid="{0D48D208-761F-439E-8A8D-46437A809262}"/>
    <cellStyle name="Note 2 3" xfId="326" xr:uid="{3EE5C36F-1941-452C-9F8C-DEBB2CE32813}"/>
    <cellStyle name="Note 2 3 2" xfId="364" xr:uid="{5C436D39-B8E8-4B1D-B153-A7736ED09F4F}"/>
    <cellStyle name="Note 2 4" xfId="327" xr:uid="{7F31171D-9426-4CF1-8FF6-773DDBA6D4E8}"/>
    <cellStyle name="Note 2 4 2" xfId="365" xr:uid="{496A7DFD-7E2D-47B3-88C6-418F26EB0EF4}"/>
    <cellStyle name="Note 2 4 2 2" xfId="373" xr:uid="{746D19EE-0590-4D5D-B178-390DB6AA7331}"/>
    <cellStyle name="Note 2 4 3" xfId="370" xr:uid="{3FFF2343-D9FF-48E2-863B-3CB03E4A0ACE}"/>
    <cellStyle name="Note 2 5" xfId="356" xr:uid="{A4D587E4-FAB1-4F2A-AC66-5753E51A80B4}"/>
    <cellStyle name="Note 2 6" xfId="419" xr:uid="{447D087B-3973-41DC-8053-AE35FDC6BCA1}"/>
    <cellStyle name="Note 3" xfId="81" xr:uid="{00000000-0005-0000-0000-000063000000}"/>
    <cellStyle name="Note 3 2" xfId="120" xr:uid="{FC1407E7-112A-4ACA-93A5-0007C2A98918}"/>
    <cellStyle name="Note 3 2 2" xfId="367" xr:uid="{BBB8979F-5888-42C6-9345-8FF87DB39CFE}"/>
    <cellStyle name="Note 3 2 3" xfId="366" xr:uid="{CD0AE0D1-6261-4D22-AACB-09DF1EDA6CFA}"/>
    <cellStyle name="Note 3 3" xfId="379" xr:uid="{31747A8E-0F79-4A45-B6A8-BD7B9DE49A19}"/>
    <cellStyle name="Note 3 4" xfId="328" xr:uid="{6D4B10CE-7D97-4249-8FD8-41C40C50E3A8}"/>
    <cellStyle name="Note 4" xfId="7" xr:uid="{00000000-0005-0000-0000-000064000000}"/>
    <cellStyle name="Note 4 2" xfId="492" xr:uid="{B2A00CB4-5C0E-4244-B092-C8FA59115B26}"/>
    <cellStyle name="Output 2" xfId="84" xr:uid="{00000000-0005-0000-0000-000065000000}"/>
    <cellStyle name="Output 2 2" xfId="329" xr:uid="{C2DC7229-525A-43B4-9E6B-849430F200A6}"/>
    <cellStyle name="Output 2 2 2" xfId="330" xr:uid="{68122EAD-C5C5-45D4-B58E-4958D7CD3EFF}"/>
    <cellStyle name="Output 2 2 3" xfId="331" xr:uid="{E7EFE3AE-646C-4F4B-8D62-00AEF3872F52}"/>
    <cellStyle name="Output 2 2 4" xfId="378" xr:uid="{D4D8D925-55A9-4008-8390-D3F41C7C77A8}"/>
    <cellStyle name="Output 2 2 5" xfId="461" xr:uid="{97E9821D-B987-4AF6-B5C6-AE5BA26CA316}"/>
    <cellStyle name="Output 2 2 5 2" xfId="502" xr:uid="{86F1B6B2-D8A2-4D53-B1E4-0943767DCC0A}"/>
    <cellStyle name="Output 2 3" xfId="332" xr:uid="{F926526C-2F7E-4596-8545-039082698798}"/>
    <cellStyle name="Output 2 4" xfId="333" xr:uid="{1E7F4E49-9ADD-46DD-8FC4-59CE5DA03F1D}"/>
    <cellStyle name="Output 2 4 2" xfId="377" xr:uid="{42AEB6E0-5323-444B-9F6C-371EDDA2723C}"/>
    <cellStyle name="Output 2 4 3" xfId="462" xr:uid="{898A3276-FC3B-43BA-9B7A-47BE179F5096}"/>
    <cellStyle name="Output 2 4 3 2" xfId="503" xr:uid="{7E7926BD-37B4-4A91-B071-DF32BBF92741}"/>
    <cellStyle name="Output 2 5" xfId="457" xr:uid="{74903B20-6563-4F3D-883F-8997D4C7033D}"/>
    <cellStyle name="Output 2 6" xfId="420" xr:uid="{1C811361-571E-4477-9699-4A46B18D2ACE}"/>
    <cellStyle name="Output 2 6 2" xfId="479" xr:uid="{1553C634-17AA-4047-BEC3-3BE964F2D439}"/>
    <cellStyle name="Output 3" xfId="83" xr:uid="{00000000-0005-0000-0000-000066000000}"/>
    <cellStyle name="Output 3 2" xfId="106" xr:uid="{00000000-0005-0000-0000-000067000000}"/>
    <cellStyle name="Output 3 2 2" xfId="369" xr:uid="{80285DEF-9746-450B-B7D2-E368BAD01460}"/>
    <cellStyle name="Output 3 3" xfId="121" xr:uid="{6EF352B5-761D-448A-9216-43EEEFF10900}"/>
    <cellStyle name="Output 3 3 2" xfId="500" xr:uid="{7F247EBF-992F-44C9-966C-A83824239057}"/>
    <cellStyle name="Output 3 4" xfId="334" xr:uid="{80A547D0-60B6-4819-84DD-9177E80646AF}"/>
    <cellStyle name="Output 4" xfId="98" xr:uid="{00000000-0005-0000-0000-000068000000}"/>
    <cellStyle name="Output 4 2" xfId="496" xr:uid="{6AF590CD-B255-4171-B5D3-E8604E45A79D}"/>
    <cellStyle name="Title 2" xfId="86" xr:uid="{00000000-0005-0000-0000-000069000000}"/>
    <cellStyle name="Title 2 2" xfId="335" xr:uid="{EFC0C9DF-CA05-4663-86C3-AFF1FC4D3606}"/>
    <cellStyle name="Title 2 2 2" xfId="336" xr:uid="{DD38D49F-3CC3-46B7-A00A-7310E64E5382}"/>
    <cellStyle name="Title 2 2 3" xfId="337" xr:uid="{31C5447F-AD3E-4580-B89C-F7E42BA649C4}"/>
    <cellStyle name="Title 2 3" xfId="338" xr:uid="{CE9E6A2C-6494-40DE-AB46-9BED098D4B4A}"/>
    <cellStyle name="Title 2 4" xfId="339" xr:uid="{E038A6AC-04B4-430F-A6A4-767608DE416F}"/>
    <cellStyle name="Title 2 5" xfId="458" xr:uid="{E3E6C421-D2A1-40F2-8178-5FD51151E4AD}"/>
    <cellStyle name="Title 2 6" xfId="480" xr:uid="{DD12B033-8FC5-4EED-9603-7BA94E64CD1D}"/>
    <cellStyle name="Title 3" xfId="85" xr:uid="{00000000-0005-0000-0000-00006A000000}"/>
    <cellStyle name="Total 2" xfId="88" xr:uid="{00000000-0005-0000-0000-00006B000000}"/>
    <cellStyle name="Total 2 2" xfId="340" xr:uid="{1407F52B-1EDD-4BE2-B41A-551B7C484073}"/>
    <cellStyle name="Total 2 2 2" xfId="341" xr:uid="{2D38A072-79D1-4BA9-9931-DE09297A929E}"/>
    <cellStyle name="Total 2 2 3" xfId="342" xr:uid="{920964E6-4316-4916-B073-9036392B405D}"/>
    <cellStyle name="Total 2 2 4" xfId="368" xr:uid="{CB90B16F-3315-47DA-A52F-5DAECF00CB0F}"/>
    <cellStyle name="Total 2 3" xfId="343" xr:uid="{90F61645-32ED-4DAB-8EA3-5EB50C54468C}"/>
    <cellStyle name="Total 2 4" xfId="344" xr:uid="{0C5A71E1-9EE9-4726-843A-8142C942FDDC}"/>
    <cellStyle name="Total 2 4 2" xfId="376" xr:uid="{DC2277EB-FF44-45A4-BAB1-A61B7518199D}"/>
    <cellStyle name="Total 2 5" xfId="459" xr:uid="{A0EAD4E7-11DC-481E-93CE-2FF2090A76AC}"/>
    <cellStyle name="Total 2 6" xfId="481" xr:uid="{77411C05-2A68-43A4-8C0D-FAB1F0B60B9B}"/>
    <cellStyle name="Total 3" xfId="87" xr:uid="{00000000-0005-0000-0000-00006C000000}"/>
    <cellStyle name="Total 3 2" xfId="107" xr:uid="{00000000-0005-0000-0000-00006D000000}"/>
    <cellStyle name="Total 3 2 2" xfId="375" xr:uid="{EE6C396E-D85B-438B-A70F-303E1FAD8CBE}"/>
    <cellStyle name="Total 3 3" xfId="122" xr:uid="{7598E62D-8801-40C7-A145-4ECEAEF315A3}"/>
    <cellStyle name="Total 3 3 2" xfId="501" xr:uid="{D7379516-DB8D-47E4-87EA-4AA668F4EA35}"/>
    <cellStyle name="Total 3 4" xfId="345" xr:uid="{4217EAF2-7B71-4CD5-AF4B-58D8E0FADD6D}"/>
    <cellStyle name="Total 4" xfId="97" xr:uid="{00000000-0005-0000-0000-00006E000000}"/>
    <cellStyle name="Total 4 2" xfId="495" xr:uid="{31BC24C8-5C5F-49B4-B1B7-12BE6CCC7BC0}"/>
    <cellStyle name="Warning Text 2" xfId="90" xr:uid="{00000000-0005-0000-0000-00006F000000}"/>
    <cellStyle name="Warning Text 2 2" xfId="346" xr:uid="{EE3B7BF6-0945-4F48-9DE8-64C0977A1281}"/>
    <cellStyle name="Warning Text 2 2 2" xfId="347" xr:uid="{CEC5FD6A-0371-4C73-A4AF-20A9EEAC8045}"/>
    <cellStyle name="Warning Text 2 2 3" xfId="348" xr:uid="{E265F9BA-C4CF-4DAB-B3EC-2D8F8513EBE3}"/>
    <cellStyle name="Warning Text 2 3" xfId="349" xr:uid="{1CC5A491-CA1C-4F4E-944A-A33F02416F75}"/>
    <cellStyle name="Warning Text 2 4" xfId="350" xr:uid="{9EC05D54-9FFD-480B-88C9-2C646E8B2563}"/>
    <cellStyle name="Warning Text 2 5" xfId="460" xr:uid="{10DD13F5-3F58-429A-8461-1489599A6B84}"/>
    <cellStyle name="Warning Text 2 6" xfId="482" xr:uid="{0FE53A96-947F-4DA3-A1E6-7F2E66ACC122}"/>
    <cellStyle name="Warning Text 3" xfId="89" xr:uid="{00000000-0005-0000-0000-000070000000}"/>
  </cellStyles>
  <dxfs count="2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color rgb="FFFF0000"/>
      </font>
      <fill>
        <patternFill>
          <bgColor rgb="FFFFF7E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color rgb="FFFF0000"/>
      </font>
      <fill>
        <patternFill>
          <bgColor rgb="FFFFF7E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7E1"/>
      <color rgb="FF0000FF"/>
      <color rgb="FFFFCBEE"/>
      <color rgb="FF99FF99"/>
      <color rgb="FFF8EEA2"/>
      <color rgb="FF00B050"/>
      <color rgb="FF00FFCC"/>
      <color rgb="FFFF99FF"/>
      <color rgb="FFCCFF66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72.30.3.114\HRD_Common\Saiful%202\Setup,%20Target%20DNR\New%20Setup%20from%20September\Compiled%20Set%20up%20of%20DNR.xlsb" TargetMode="External"/><Relationship Id="rId1" Type="http://schemas.openxmlformats.org/officeDocument/2006/relationships/externalLinkPath" Target="Compiled%20Set%20up%20of%20DN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HAKA-1"/>
      <sheetName val="DHAKA-2"/>
      <sheetName val="UTTARA"/>
      <sheetName val="CTG"/>
      <sheetName val="SYLHET"/>
      <sheetName val="KHULNA"/>
      <sheetName val="RANGPUR"/>
      <sheetName val="RAJSHAHI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C2" t="str">
            <v>EM00015983</v>
          </cell>
          <cell r="D2" t="str">
            <v>PA011-D</v>
          </cell>
        </row>
        <row r="3">
          <cell r="C3" t="str">
            <v>EM00015722</v>
          </cell>
          <cell r="D3" t="str">
            <v>PA012-D</v>
          </cell>
        </row>
        <row r="4">
          <cell r="C4" t="str">
            <v>EM00016052</v>
          </cell>
          <cell r="D4" t="str">
            <v>PA013-D</v>
          </cell>
        </row>
        <row r="5">
          <cell r="C5" t="str">
            <v>EM00015723</v>
          </cell>
          <cell r="D5" t="str">
            <v>PA014-D</v>
          </cell>
        </row>
        <row r="6">
          <cell r="C6" t="str">
            <v>EM00015582</v>
          </cell>
          <cell r="D6" t="str">
            <v>PA015-D</v>
          </cell>
        </row>
        <row r="7">
          <cell r="C7" t="str">
            <v>EM00016053</v>
          </cell>
          <cell r="D7" t="str">
            <v>PA016-D</v>
          </cell>
        </row>
        <row r="8">
          <cell r="C8" t="str">
            <v>EM00007671</v>
          </cell>
          <cell r="D8" t="str">
            <v>PA010-D</v>
          </cell>
        </row>
        <row r="9">
          <cell r="C9" t="str">
            <v>EM00015585</v>
          </cell>
          <cell r="D9" t="str">
            <v>DH011-D</v>
          </cell>
        </row>
        <row r="10">
          <cell r="C10" t="str">
            <v>EM00016041</v>
          </cell>
          <cell r="D10" t="str">
            <v>DH012-D</v>
          </cell>
        </row>
        <row r="11">
          <cell r="C11" t="str">
            <v>EM00016381</v>
          </cell>
          <cell r="D11" t="str">
            <v>DH013-D</v>
          </cell>
        </row>
        <row r="12">
          <cell r="C12" t="str">
            <v>EM00015619</v>
          </cell>
          <cell r="D12" t="str">
            <v>DH014-D</v>
          </cell>
        </row>
        <row r="13">
          <cell r="C13" t="str">
            <v>EM00015733</v>
          </cell>
          <cell r="D13" t="str">
            <v>DH015-D</v>
          </cell>
        </row>
        <row r="14">
          <cell r="C14" t="str">
            <v>EM00011558</v>
          </cell>
          <cell r="D14" t="str">
            <v>DH010-D</v>
          </cell>
        </row>
        <row r="15">
          <cell r="C15" t="str">
            <v>EM00016421</v>
          </cell>
          <cell r="D15" t="str">
            <v>DH021-D</v>
          </cell>
        </row>
        <row r="16">
          <cell r="C16" t="str">
            <v>EM00015587</v>
          </cell>
          <cell r="D16" t="str">
            <v>DH022-D</v>
          </cell>
        </row>
        <row r="17">
          <cell r="C17" t="str">
            <v>EM00015607</v>
          </cell>
          <cell r="D17" t="str">
            <v>DH023-D</v>
          </cell>
        </row>
        <row r="18">
          <cell r="C18" t="str">
            <v>EM00015608</v>
          </cell>
          <cell r="D18" t="str">
            <v>DH024-D</v>
          </cell>
        </row>
        <row r="19">
          <cell r="C19" t="str">
            <v>EM00000000</v>
          </cell>
          <cell r="D19" t="str">
            <v>DH025-D</v>
          </cell>
        </row>
        <row r="20">
          <cell r="C20" t="str">
            <v>EM00015656</v>
          </cell>
          <cell r="D20" t="str">
            <v>DH020-D</v>
          </cell>
        </row>
        <row r="21">
          <cell r="C21" t="str">
            <v>EM00015621</v>
          </cell>
          <cell r="D21" t="str">
            <v>DH031-D</v>
          </cell>
        </row>
        <row r="22">
          <cell r="C22" t="str">
            <v>EM00015606</v>
          </cell>
          <cell r="D22" t="str">
            <v>DH032-D</v>
          </cell>
        </row>
        <row r="23">
          <cell r="C23" t="str">
            <v>EM00016045</v>
          </cell>
          <cell r="D23" t="str">
            <v>DH033-D</v>
          </cell>
        </row>
        <row r="24">
          <cell r="C24" t="str">
            <v>EM00000000</v>
          </cell>
          <cell r="D24" t="str">
            <v>DH034-D</v>
          </cell>
        </row>
        <row r="25">
          <cell r="C25" t="str">
            <v>EM00000000</v>
          </cell>
          <cell r="D25" t="str">
            <v>DH035-D</v>
          </cell>
        </row>
        <row r="26">
          <cell r="C26" t="str">
            <v>EM00015661</v>
          </cell>
          <cell r="D26" t="str">
            <v>DH030-D</v>
          </cell>
        </row>
        <row r="27">
          <cell r="C27" t="str">
            <v>EM00015734</v>
          </cell>
          <cell r="D27" t="str">
            <v>DH041-D</v>
          </cell>
        </row>
        <row r="28">
          <cell r="C28" t="str">
            <v>EM00015992</v>
          </cell>
          <cell r="D28" t="str">
            <v>DH042-D</v>
          </cell>
        </row>
        <row r="29">
          <cell r="C29" t="str">
            <v>EM00015586</v>
          </cell>
          <cell r="D29" t="str">
            <v>DH043-D</v>
          </cell>
        </row>
        <row r="30">
          <cell r="C30" t="str">
            <v>EM00015736</v>
          </cell>
          <cell r="D30" t="str">
            <v>DH044-D</v>
          </cell>
        </row>
        <row r="31">
          <cell r="C31" t="str">
            <v>EM00000000</v>
          </cell>
          <cell r="D31" t="str">
            <v>DH040-D</v>
          </cell>
        </row>
        <row r="32">
          <cell r="C32" t="str">
            <v>EM00015595</v>
          </cell>
          <cell r="D32" t="str">
            <v>KE011-D</v>
          </cell>
        </row>
        <row r="33">
          <cell r="C33" t="str">
            <v>EM00015596</v>
          </cell>
          <cell r="D33" t="str">
            <v>KE012-D</v>
          </cell>
        </row>
        <row r="34">
          <cell r="C34" t="str">
            <v>EM00015994</v>
          </cell>
          <cell r="D34" t="str">
            <v>KE013-D</v>
          </cell>
        </row>
        <row r="35">
          <cell r="C35" t="str">
            <v>EM00016281</v>
          </cell>
          <cell r="D35" t="str">
            <v>KE014-D</v>
          </cell>
        </row>
        <row r="36">
          <cell r="C36" t="str">
            <v>EM00015977</v>
          </cell>
          <cell r="D36" t="str">
            <v>KE015-D</v>
          </cell>
        </row>
        <row r="37">
          <cell r="C37" t="str">
            <v>EM00016282</v>
          </cell>
          <cell r="D37" t="str">
            <v>KE016-D</v>
          </cell>
        </row>
        <row r="38">
          <cell r="C38" t="str">
            <v>EM00016192</v>
          </cell>
          <cell r="D38" t="str">
            <v>KE010-D</v>
          </cell>
        </row>
        <row r="39">
          <cell r="C39" t="str">
            <v>EM00015986</v>
          </cell>
          <cell r="D39" t="str">
            <v>NA011-D</v>
          </cell>
        </row>
        <row r="40">
          <cell r="C40" t="str">
            <v>EM00015988</v>
          </cell>
          <cell r="D40" t="str">
            <v>NA012-D</v>
          </cell>
        </row>
        <row r="41">
          <cell r="C41" t="str">
            <v>EM00016472</v>
          </cell>
          <cell r="D41" t="str">
            <v>NA013-D</v>
          </cell>
        </row>
        <row r="42">
          <cell r="C42" t="str">
            <v>EM00016382</v>
          </cell>
          <cell r="D42" t="str">
            <v>NA014-D</v>
          </cell>
        </row>
        <row r="43">
          <cell r="C43" t="str">
            <v>EM00015980</v>
          </cell>
          <cell r="D43" t="str">
            <v>NA015-D</v>
          </cell>
        </row>
        <row r="44">
          <cell r="C44" t="str">
            <v>EM00015762</v>
          </cell>
          <cell r="D44" t="str">
            <v>NA016-D</v>
          </cell>
        </row>
        <row r="45">
          <cell r="C45" t="str">
            <v>EM00008760</v>
          </cell>
          <cell r="D45" t="str">
            <v>NA010-D</v>
          </cell>
        </row>
        <row r="46">
          <cell r="C46" t="str">
            <v>EM00016280</v>
          </cell>
          <cell r="D46" t="str">
            <v>NA021-D</v>
          </cell>
        </row>
        <row r="47">
          <cell r="C47" t="str">
            <v>EM00015979</v>
          </cell>
          <cell r="D47" t="str">
            <v>NA022-D</v>
          </cell>
        </row>
        <row r="48">
          <cell r="C48" t="str">
            <v>EM00015993</v>
          </cell>
          <cell r="D48" t="str">
            <v>NA023-D</v>
          </cell>
        </row>
        <row r="49">
          <cell r="C49" t="str">
            <v>EM00016273</v>
          </cell>
          <cell r="D49" t="str">
            <v>NA024-D</v>
          </cell>
        </row>
        <row r="50">
          <cell r="C50" t="str">
            <v>EM00015982</v>
          </cell>
          <cell r="D50" t="str">
            <v>NA025-D</v>
          </cell>
        </row>
        <row r="51">
          <cell r="C51" t="str">
            <v>EM00016390</v>
          </cell>
          <cell r="D51" t="str">
            <v>NA026-D</v>
          </cell>
        </row>
        <row r="52">
          <cell r="C52" t="str">
            <v>EM00000000</v>
          </cell>
          <cell r="D52" t="str">
            <v>NA020-D</v>
          </cell>
        </row>
        <row r="53">
          <cell r="C53" t="str">
            <v>EM00016505</v>
          </cell>
          <cell r="D53" t="str">
            <v>DH051-D</v>
          </cell>
        </row>
        <row r="54">
          <cell r="C54" t="str">
            <v>EM00015757</v>
          </cell>
          <cell r="D54" t="str">
            <v>PA021-D</v>
          </cell>
        </row>
        <row r="55">
          <cell r="C55" t="str">
            <v>EM00016036</v>
          </cell>
          <cell r="D55" t="str">
            <v>PA022-D</v>
          </cell>
        </row>
        <row r="56">
          <cell r="C56" t="str">
            <v>EM00015753</v>
          </cell>
          <cell r="D56" t="str">
            <v>PA023-D</v>
          </cell>
        </row>
        <row r="57">
          <cell r="C57" t="str">
            <v>EM00010882</v>
          </cell>
          <cell r="D57" t="str">
            <v>PA020-D</v>
          </cell>
        </row>
        <row r="58">
          <cell r="C58" t="str">
            <v>EM00015741</v>
          </cell>
          <cell r="D58" t="str">
            <v>PA031-D</v>
          </cell>
        </row>
        <row r="59">
          <cell r="C59" t="str">
            <v>EM00016379</v>
          </cell>
          <cell r="D59" t="str">
            <v>PA032-D</v>
          </cell>
        </row>
        <row r="60">
          <cell r="C60" t="str">
            <v>EM00015991</v>
          </cell>
          <cell r="D60" t="str">
            <v>PA033-D</v>
          </cell>
        </row>
        <row r="61">
          <cell r="C61" t="str">
            <v>EM00016469</v>
          </cell>
          <cell r="D61" t="str">
            <v>PA034-D</v>
          </cell>
        </row>
        <row r="62">
          <cell r="C62" t="str">
            <v>EM00016386</v>
          </cell>
          <cell r="D62" t="str">
            <v>PA035-D</v>
          </cell>
        </row>
        <row r="63">
          <cell r="C63" t="str">
            <v>EM00016467</v>
          </cell>
          <cell r="D63" t="str">
            <v>PA030-D</v>
          </cell>
        </row>
        <row r="64">
          <cell r="C64" t="str">
            <v>EM00015584</v>
          </cell>
          <cell r="D64" t="str">
            <v>PA041-D</v>
          </cell>
        </row>
        <row r="65">
          <cell r="C65" t="str">
            <v>EM00016384</v>
          </cell>
          <cell r="D65" t="str">
            <v>PA042-D</v>
          </cell>
        </row>
        <row r="66">
          <cell r="C66" t="str">
            <v>EM00016032</v>
          </cell>
          <cell r="D66" t="str">
            <v>PA043-D</v>
          </cell>
        </row>
        <row r="67">
          <cell r="C67" t="str">
            <v>EM00015748</v>
          </cell>
          <cell r="D67" t="str">
            <v>PA044-D</v>
          </cell>
        </row>
        <row r="68">
          <cell r="C68" t="str">
            <v>EM00000000</v>
          </cell>
          <cell r="D68" t="str">
            <v>PA045-D</v>
          </cell>
        </row>
        <row r="69">
          <cell r="C69" t="str">
            <v>EM00010352</v>
          </cell>
          <cell r="D69" t="str">
            <v>PA040-D</v>
          </cell>
        </row>
        <row r="70">
          <cell r="C70" t="str">
            <v>EM00015760</v>
          </cell>
          <cell r="D70" t="str">
            <v>KI011-D</v>
          </cell>
        </row>
        <row r="71">
          <cell r="C71" t="str">
            <v>EM00015759</v>
          </cell>
          <cell r="D71" t="str">
            <v>KI012-D</v>
          </cell>
        </row>
        <row r="72">
          <cell r="C72" t="str">
            <v>EM00016027</v>
          </cell>
          <cell r="D72" t="str">
            <v>KI013-D</v>
          </cell>
        </row>
        <row r="73">
          <cell r="C73" t="str">
            <v>EM00015997</v>
          </cell>
          <cell r="D73" t="str">
            <v>KI014-D</v>
          </cell>
        </row>
        <row r="74">
          <cell r="C74" t="str">
            <v>EM00000000</v>
          </cell>
          <cell r="D74" t="str">
            <v>KI015-D</v>
          </cell>
        </row>
        <row r="75">
          <cell r="C75" t="str">
            <v>EM00016516</v>
          </cell>
          <cell r="D75" t="str">
            <v>KI010-D</v>
          </cell>
        </row>
        <row r="76">
          <cell r="C76" t="str">
            <v>EM00015588</v>
          </cell>
          <cell r="D76" t="str">
            <v>MY011-D</v>
          </cell>
        </row>
        <row r="77">
          <cell r="C77" t="str">
            <v>EM00015740</v>
          </cell>
          <cell r="D77" t="str">
            <v>MY012-D</v>
          </cell>
        </row>
        <row r="78">
          <cell r="C78" t="str">
            <v>EM00015745</v>
          </cell>
          <cell r="D78" t="str">
            <v>MY013-D</v>
          </cell>
        </row>
        <row r="79">
          <cell r="C79" t="str">
            <v>EM00016287</v>
          </cell>
          <cell r="D79" t="str">
            <v>MY014-D</v>
          </cell>
        </row>
        <row r="80">
          <cell r="C80" t="str">
            <v>EM00016010</v>
          </cell>
          <cell r="D80" t="str">
            <v>MY015-D</v>
          </cell>
        </row>
        <row r="81">
          <cell r="C81" t="str">
            <v>EM00015867</v>
          </cell>
          <cell r="D81" t="str">
            <v>MY010-D</v>
          </cell>
        </row>
        <row r="82">
          <cell r="C82" t="str">
            <v>EM00015610</v>
          </cell>
          <cell r="D82" t="str">
            <v>MY021-D</v>
          </cell>
        </row>
        <row r="83">
          <cell r="C83" t="str">
            <v>EM00015999</v>
          </cell>
          <cell r="D83" t="str">
            <v>MY022-D</v>
          </cell>
        </row>
        <row r="84">
          <cell r="C84" t="str">
            <v>EM00016004</v>
          </cell>
          <cell r="D84" t="str">
            <v>MY023-D</v>
          </cell>
        </row>
        <row r="85">
          <cell r="C85" t="str">
            <v>EM00016009</v>
          </cell>
          <cell r="D85" t="str">
            <v>MY024-D</v>
          </cell>
        </row>
        <row r="86">
          <cell r="C86" t="str">
            <v>EM00000000</v>
          </cell>
          <cell r="D86" t="str">
            <v>MY020-D</v>
          </cell>
        </row>
        <row r="87">
          <cell r="C87" t="str">
            <v>EM00015761</v>
          </cell>
          <cell r="D87" t="str">
            <v>TA011-D</v>
          </cell>
        </row>
        <row r="88">
          <cell r="C88" t="str">
            <v>EM00015754</v>
          </cell>
          <cell r="D88" t="str">
            <v>TA012-D</v>
          </cell>
        </row>
        <row r="89">
          <cell r="C89" t="str">
            <v>EM00015978</v>
          </cell>
          <cell r="D89" t="str">
            <v>TA013-D</v>
          </cell>
        </row>
        <row r="90">
          <cell r="C90" t="str">
            <v>EM00016002</v>
          </cell>
          <cell r="D90" t="str">
            <v>TA014-D</v>
          </cell>
        </row>
        <row r="91">
          <cell r="C91" t="str">
            <v>EM00016284</v>
          </cell>
          <cell r="D91" t="str">
            <v>TA015-D</v>
          </cell>
        </row>
        <row r="92">
          <cell r="C92" t="str">
            <v>EM00016566</v>
          </cell>
          <cell r="D92" t="str">
            <v>TA010-D</v>
          </cell>
        </row>
        <row r="93">
          <cell r="C93" t="str">
            <v>EM00015589</v>
          </cell>
          <cell r="D93" t="str">
            <v>UT011-D</v>
          </cell>
        </row>
        <row r="94">
          <cell r="C94" t="str">
            <v>EM00015750</v>
          </cell>
          <cell r="D94" t="str">
            <v>UT012-D</v>
          </cell>
        </row>
        <row r="95">
          <cell r="C95" t="str">
            <v>EM00016407</v>
          </cell>
          <cell r="D95" t="str">
            <v>UT013-D</v>
          </cell>
        </row>
        <row r="96">
          <cell r="C96" t="str">
            <v>EM00016015</v>
          </cell>
          <cell r="D96" t="str">
            <v>UT014-D</v>
          </cell>
        </row>
        <row r="97">
          <cell r="C97" t="str">
            <v>EM00016000</v>
          </cell>
          <cell r="D97" t="str">
            <v>UT015-D</v>
          </cell>
        </row>
        <row r="98">
          <cell r="C98" t="str">
            <v>EM00011054</v>
          </cell>
          <cell r="D98" t="str">
            <v>UT010-D</v>
          </cell>
        </row>
        <row r="99">
          <cell r="C99" t="str">
            <v>EM00015996</v>
          </cell>
          <cell r="D99" t="str">
            <v>UT021-D</v>
          </cell>
        </row>
        <row r="100">
          <cell r="C100" t="str">
            <v>EM00015747</v>
          </cell>
          <cell r="D100" t="str">
            <v>UT022-D</v>
          </cell>
        </row>
        <row r="101">
          <cell r="C101" t="str">
            <v>EM00016014</v>
          </cell>
          <cell r="D101" t="str">
            <v>UT023-D</v>
          </cell>
        </row>
        <row r="102">
          <cell r="C102" t="str">
            <v>EM00015765</v>
          </cell>
          <cell r="D102" t="str">
            <v>UT024-D</v>
          </cell>
        </row>
        <row r="103">
          <cell r="C103" t="str">
            <v>EM00000000</v>
          </cell>
          <cell r="D103" t="str">
            <v>UT025-D</v>
          </cell>
        </row>
        <row r="104">
          <cell r="C104" t="str">
            <v>EM00016466</v>
          </cell>
          <cell r="D104" t="str">
            <v>UT020-D</v>
          </cell>
        </row>
        <row r="105">
          <cell r="C105" t="str">
            <v>EM00016035</v>
          </cell>
          <cell r="D105" t="str">
            <v>CH011-D</v>
          </cell>
        </row>
        <row r="106">
          <cell r="C106" t="str">
            <v>EM00016375</v>
          </cell>
          <cell r="D106" t="str">
            <v>CH012-D</v>
          </cell>
        </row>
        <row r="107">
          <cell r="C107" t="str">
            <v>EM00016262</v>
          </cell>
          <cell r="D107" t="str">
            <v>CH013-D</v>
          </cell>
        </row>
        <row r="108">
          <cell r="C108" t="str">
            <v>EM00016049</v>
          </cell>
          <cell r="D108" t="str">
            <v>CH014-D</v>
          </cell>
        </row>
        <row r="109">
          <cell r="C109" t="str">
            <v>EM00015717</v>
          </cell>
          <cell r="D109" t="str">
            <v>CH015-D</v>
          </cell>
        </row>
        <row r="110">
          <cell r="C110" t="str">
            <v>EM00000000</v>
          </cell>
          <cell r="D110" t="str">
            <v>CH016-D</v>
          </cell>
        </row>
        <row r="111">
          <cell r="C111" t="str">
            <v>EM00015657</v>
          </cell>
          <cell r="D111" t="str">
            <v>CH010-D</v>
          </cell>
        </row>
        <row r="112">
          <cell r="C112" t="str">
            <v>EM00016034</v>
          </cell>
          <cell r="D112" t="str">
            <v>CH021-D</v>
          </cell>
        </row>
        <row r="113">
          <cell r="C113" t="str">
            <v>EM00016063</v>
          </cell>
          <cell r="D113" t="str">
            <v>CH022-D</v>
          </cell>
        </row>
        <row r="114">
          <cell r="C114" t="str">
            <v>EM00016043</v>
          </cell>
          <cell r="D114" t="str">
            <v>CH023-D</v>
          </cell>
        </row>
        <row r="115">
          <cell r="C115" t="str">
            <v>EM00016056</v>
          </cell>
          <cell r="D115" t="str">
            <v>CH024-D</v>
          </cell>
        </row>
        <row r="116">
          <cell r="C116" t="str">
            <v>EM00016037</v>
          </cell>
          <cell r="D116" t="str">
            <v>CH025-D</v>
          </cell>
        </row>
        <row r="117">
          <cell r="C117" t="str">
            <v>EM00007842</v>
          </cell>
          <cell r="D117" t="str">
            <v>CH020-D</v>
          </cell>
        </row>
        <row r="118">
          <cell r="C118" t="str">
            <v>EM00000000</v>
          </cell>
          <cell r="D118" t="str">
            <v>CH031-D</v>
          </cell>
        </row>
        <row r="119">
          <cell r="C119" t="str">
            <v>EM00016258</v>
          </cell>
          <cell r="D119" t="str">
            <v>CH032-D</v>
          </cell>
        </row>
        <row r="120">
          <cell r="C120" t="str">
            <v>EM00016257</v>
          </cell>
          <cell r="D120" t="str">
            <v>CH033-D</v>
          </cell>
        </row>
        <row r="121">
          <cell r="C121" t="str">
            <v>EM00016377</v>
          </cell>
          <cell r="D121" t="str">
            <v>CH034-D</v>
          </cell>
        </row>
        <row r="122">
          <cell r="C122" t="str">
            <v>EM00016039</v>
          </cell>
          <cell r="D122" t="str">
            <v>CH035-D</v>
          </cell>
        </row>
        <row r="123">
          <cell r="C123" t="str">
            <v>EM00000000</v>
          </cell>
          <cell r="D123" t="str">
            <v>CH036-D</v>
          </cell>
        </row>
        <row r="124">
          <cell r="C124" t="str">
            <v>EM00000000</v>
          </cell>
          <cell r="D124" t="str">
            <v>CH037-D</v>
          </cell>
        </row>
        <row r="125">
          <cell r="C125" t="str">
            <v>EM00016184</v>
          </cell>
          <cell r="D125" t="str">
            <v>CH030-D</v>
          </cell>
        </row>
        <row r="126">
          <cell r="C126" t="str">
            <v>EM00016046</v>
          </cell>
          <cell r="D126" t="str">
            <v>CH041-D</v>
          </cell>
        </row>
        <row r="127">
          <cell r="C127" t="str">
            <v>EM00016279</v>
          </cell>
          <cell r="D127" t="str">
            <v>CH042-D</v>
          </cell>
        </row>
        <row r="128">
          <cell r="C128" t="str">
            <v>EM00000000</v>
          </cell>
          <cell r="D128" t="str">
            <v>CH043-D</v>
          </cell>
        </row>
        <row r="129">
          <cell r="C129" t="str">
            <v>EM00000000</v>
          </cell>
          <cell r="D129" t="str">
            <v>CH044-D</v>
          </cell>
        </row>
        <row r="130">
          <cell r="C130" t="str">
            <v>EM00016259</v>
          </cell>
          <cell r="D130" t="str">
            <v>CH045-D</v>
          </cell>
        </row>
        <row r="131">
          <cell r="C131" t="str">
            <v>EM00000000</v>
          </cell>
          <cell r="D131" t="str">
            <v>CH040-D</v>
          </cell>
        </row>
        <row r="132">
          <cell r="C132" t="str">
            <v>EM00000000</v>
          </cell>
          <cell r="D132" t="str">
            <v>CO011-D</v>
          </cell>
        </row>
        <row r="133">
          <cell r="C133" t="str">
            <v>EM00000000</v>
          </cell>
          <cell r="D133" t="str">
            <v>CO012-D</v>
          </cell>
        </row>
        <row r="134">
          <cell r="C134" t="str">
            <v>EM00000000</v>
          </cell>
          <cell r="D134" t="str">
            <v>CO013-D</v>
          </cell>
        </row>
        <row r="135">
          <cell r="C135" t="str">
            <v>EM00016486</v>
          </cell>
          <cell r="D135" t="str">
            <v>CO014-D</v>
          </cell>
        </row>
        <row r="136">
          <cell r="C136" t="str">
            <v>EM00016278</v>
          </cell>
          <cell r="D136" t="str">
            <v>CO015-D</v>
          </cell>
        </row>
        <row r="137">
          <cell r="C137" t="str">
            <v>EM00016404</v>
          </cell>
          <cell r="D137" t="str">
            <v>CO016-D</v>
          </cell>
        </row>
        <row r="138">
          <cell r="C138" t="str">
            <v>EM00000000</v>
          </cell>
          <cell r="D138" t="str">
            <v>CO010-D</v>
          </cell>
        </row>
        <row r="139">
          <cell r="C139" t="str">
            <v>EM00016271</v>
          </cell>
          <cell r="D139" t="str">
            <v>FE011-D</v>
          </cell>
        </row>
        <row r="140">
          <cell r="C140" t="str">
            <v>EM00016266</v>
          </cell>
          <cell r="D140" t="str">
            <v>FE012-D</v>
          </cell>
        </row>
        <row r="141">
          <cell r="C141" t="str">
            <v>EM00016288</v>
          </cell>
          <cell r="D141" t="str">
            <v>FE013-D</v>
          </cell>
        </row>
        <row r="142">
          <cell r="C142" t="str">
            <v>EM00000000</v>
          </cell>
          <cell r="D142" t="str">
            <v>FE014-D</v>
          </cell>
        </row>
        <row r="143">
          <cell r="C143" t="str">
            <v>EM00016373</v>
          </cell>
          <cell r="D143" t="str">
            <v>FE015-D</v>
          </cell>
        </row>
        <row r="144">
          <cell r="C144" t="str">
            <v>EM00000000</v>
          </cell>
          <cell r="D144" t="str">
            <v>FE010-D</v>
          </cell>
        </row>
        <row r="145">
          <cell r="C145" t="str">
            <v>EM00015764</v>
          </cell>
          <cell r="D145" t="str">
            <v>NO011-D</v>
          </cell>
        </row>
        <row r="146">
          <cell r="C146" t="str">
            <v>EM00016008</v>
          </cell>
          <cell r="D146" t="str">
            <v>NO012-D</v>
          </cell>
        </row>
        <row r="147">
          <cell r="C147" t="str">
            <v>EM00016470</v>
          </cell>
          <cell r="D147" t="str">
            <v>NO013-D</v>
          </cell>
        </row>
        <row r="148">
          <cell r="C148" t="str">
            <v>EM00000000</v>
          </cell>
          <cell r="D148" t="str">
            <v>NO014-D</v>
          </cell>
        </row>
        <row r="149">
          <cell r="C149" t="str">
            <v>EM00000000</v>
          </cell>
          <cell r="D149" t="str">
            <v>NO015-D</v>
          </cell>
        </row>
        <row r="150">
          <cell r="C150" t="str">
            <v>EM00016508</v>
          </cell>
          <cell r="D150" t="str">
            <v>NO010-D</v>
          </cell>
        </row>
        <row r="151">
          <cell r="C151" t="str">
            <v>EM00016490</v>
          </cell>
          <cell r="D151" t="str">
            <v>NO021-D</v>
          </cell>
        </row>
        <row r="152">
          <cell r="C152" t="str">
            <v>EM00000000</v>
          </cell>
          <cell r="D152" t="str">
            <v>NO022-D</v>
          </cell>
        </row>
        <row r="153">
          <cell r="C153" t="str">
            <v>EM00000000</v>
          </cell>
          <cell r="D153" t="str">
            <v>NO023-D</v>
          </cell>
        </row>
        <row r="154">
          <cell r="C154" t="str">
            <v>EM00000000</v>
          </cell>
          <cell r="D154" t="str">
            <v>NO024-D</v>
          </cell>
        </row>
        <row r="155">
          <cell r="C155" t="str">
            <v>EM00000000</v>
          </cell>
          <cell r="D155" t="str">
            <v>NO025-D</v>
          </cell>
        </row>
        <row r="156">
          <cell r="C156" t="str">
            <v>EM00000000</v>
          </cell>
          <cell r="D156" t="str">
            <v>NO020-D</v>
          </cell>
        </row>
        <row r="157">
          <cell r="C157" t="str">
            <v>EM00015998</v>
          </cell>
          <cell r="D157" t="str">
            <v>BB011-D</v>
          </cell>
        </row>
        <row r="158">
          <cell r="C158" t="str">
            <v>EM00016272</v>
          </cell>
          <cell r="D158" t="str">
            <v>BB012-D</v>
          </cell>
        </row>
        <row r="159">
          <cell r="C159" t="str">
            <v>EM00016269</v>
          </cell>
          <cell r="D159" t="str">
            <v>BB013-D</v>
          </cell>
        </row>
        <row r="160">
          <cell r="C160" t="str">
            <v>EM00016389</v>
          </cell>
          <cell r="D160" t="str">
            <v>BB014-D</v>
          </cell>
        </row>
        <row r="161">
          <cell r="C161" t="str">
            <v>EM00000000</v>
          </cell>
          <cell r="D161" t="str">
            <v>BB015-D</v>
          </cell>
        </row>
        <row r="162">
          <cell r="C162" t="str">
            <v>EM00000000</v>
          </cell>
          <cell r="D162" t="str">
            <v>BB016-D</v>
          </cell>
        </row>
        <row r="163">
          <cell r="C163" t="str">
            <v>EM00000000</v>
          </cell>
          <cell r="D163" t="str">
            <v>BB010-D</v>
          </cell>
        </row>
        <row r="164">
          <cell r="C164" t="str">
            <v>EM00000000</v>
          </cell>
          <cell r="D164" t="str">
            <v>CU011-D</v>
          </cell>
        </row>
        <row r="165">
          <cell r="C165" t="str">
            <v>EM00016276</v>
          </cell>
          <cell r="D165" t="str">
            <v>CU012-D</v>
          </cell>
        </row>
        <row r="166">
          <cell r="C166" t="str">
            <v>EM00016003</v>
          </cell>
          <cell r="D166" t="str">
            <v>CU013-D</v>
          </cell>
        </row>
        <row r="167">
          <cell r="C167" t="str">
            <v>EM00016267</v>
          </cell>
          <cell r="D167" t="str">
            <v>CU014-D</v>
          </cell>
        </row>
        <row r="168">
          <cell r="C168" t="str">
            <v>EM00000000</v>
          </cell>
          <cell r="D168" t="str">
            <v>CU015-D</v>
          </cell>
        </row>
        <row r="169">
          <cell r="C169" t="str">
            <v>EM00000000</v>
          </cell>
          <cell r="D169" t="str">
            <v>CU016-D</v>
          </cell>
        </row>
        <row r="170">
          <cell r="C170" t="str">
            <v>EM00000000</v>
          </cell>
          <cell r="D170" t="str">
            <v>CU010-D</v>
          </cell>
        </row>
        <row r="171">
          <cell r="C171" t="str">
            <v>EM00016388</v>
          </cell>
          <cell r="D171" t="str">
            <v>CU021-D</v>
          </cell>
        </row>
        <row r="172">
          <cell r="C172" t="str">
            <v>EM00000000</v>
          </cell>
          <cell r="D172" t="str">
            <v>CU022-D</v>
          </cell>
        </row>
        <row r="173">
          <cell r="C173" t="str">
            <v>EM00016383</v>
          </cell>
          <cell r="D173" t="str">
            <v>CA011-D</v>
          </cell>
        </row>
        <row r="174">
          <cell r="C174" t="str">
            <v>EM00016275</v>
          </cell>
          <cell r="D174" t="str">
            <v>CA012-D</v>
          </cell>
        </row>
        <row r="175">
          <cell r="C175" t="str">
            <v>EM00000000</v>
          </cell>
          <cell r="D175" t="str">
            <v>CA013-D</v>
          </cell>
        </row>
        <row r="176">
          <cell r="C176" t="str">
            <v>EM00000000</v>
          </cell>
          <cell r="D176" t="str">
            <v>CU020-D</v>
          </cell>
        </row>
        <row r="177">
          <cell r="C177" t="str">
            <v>EM00016268</v>
          </cell>
          <cell r="D177" t="str">
            <v>MO011-D</v>
          </cell>
        </row>
        <row r="178">
          <cell r="C178" t="str">
            <v>EM00016265</v>
          </cell>
          <cell r="D178" t="str">
            <v>MO012-D</v>
          </cell>
        </row>
        <row r="179">
          <cell r="C179" t="str">
            <v>EM00016264</v>
          </cell>
          <cell r="D179" t="str">
            <v>MO013-D</v>
          </cell>
        </row>
        <row r="180">
          <cell r="C180" t="str">
            <v>EM00016396</v>
          </cell>
          <cell r="D180" t="str">
            <v>MO014-D</v>
          </cell>
        </row>
        <row r="181">
          <cell r="C181" t="str">
            <v>EM00016471</v>
          </cell>
          <cell r="D181" t="str">
            <v>MO015-D</v>
          </cell>
        </row>
        <row r="182">
          <cell r="C182" t="str">
            <v>EM00000000</v>
          </cell>
          <cell r="D182" t="str">
            <v>MO010-D</v>
          </cell>
        </row>
        <row r="183">
          <cell r="C183" t="str">
            <v>EM00016473</v>
          </cell>
          <cell r="D183" t="str">
            <v>MO021-D</v>
          </cell>
        </row>
        <row r="184">
          <cell r="C184" t="str">
            <v>EM00016263</v>
          </cell>
          <cell r="D184" t="str">
            <v>SY011-D</v>
          </cell>
        </row>
        <row r="185">
          <cell r="C185" t="str">
            <v>EM00016400</v>
          </cell>
          <cell r="D185" t="str">
            <v>SY012-D</v>
          </cell>
        </row>
        <row r="186">
          <cell r="C186" t="str">
            <v>EM00000000</v>
          </cell>
          <cell r="D186" t="str">
            <v>SY013-D</v>
          </cell>
        </row>
        <row r="187">
          <cell r="C187" t="str">
            <v>EM00016020</v>
          </cell>
          <cell r="D187" t="str">
            <v>SY014-D</v>
          </cell>
        </row>
        <row r="188">
          <cell r="C188" t="str">
            <v>EM00016182</v>
          </cell>
          <cell r="D188" t="str">
            <v>SY010-D</v>
          </cell>
        </row>
        <row r="189">
          <cell r="C189" t="str">
            <v>EM00000000</v>
          </cell>
          <cell r="D189" t="str">
            <v>SY021-D</v>
          </cell>
        </row>
        <row r="190">
          <cell r="C190" t="str">
            <v>EM00016012</v>
          </cell>
          <cell r="D190" t="str">
            <v>SY022-D</v>
          </cell>
        </row>
        <row r="191">
          <cell r="C191" t="str">
            <v>EM00016398</v>
          </cell>
          <cell r="D191" t="str">
            <v>SY023-D</v>
          </cell>
        </row>
        <row r="192">
          <cell r="C192" t="str">
            <v>EM00016260</v>
          </cell>
          <cell r="D192" t="str">
            <v>SY024-D</v>
          </cell>
        </row>
        <row r="193">
          <cell r="C193" t="str">
            <v>EM00016006</v>
          </cell>
          <cell r="D193" t="str">
            <v>SY025-D</v>
          </cell>
        </row>
        <row r="194">
          <cell r="C194" t="str">
            <v>EM00000000</v>
          </cell>
          <cell r="D194" t="str">
            <v>SY020-D</v>
          </cell>
        </row>
        <row r="195">
          <cell r="C195" t="str">
            <v>EM00016007</v>
          </cell>
          <cell r="D195" t="str">
            <v>SY031-D</v>
          </cell>
        </row>
        <row r="196">
          <cell r="C196" t="str">
            <v>EM00016017</v>
          </cell>
          <cell r="D196" t="str">
            <v>SY032-D</v>
          </cell>
        </row>
        <row r="197">
          <cell r="C197" t="str">
            <v>EM00016005</v>
          </cell>
          <cell r="D197" t="str">
            <v>SY033-D</v>
          </cell>
        </row>
        <row r="198">
          <cell r="C198" t="str">
            <v>EM00016402</v>
          </cell>
          <cell r="D198" t="str">
            <v>SY034-D</v>
          </cell>
        </row>
        <row r="199">
          <cell r="C199" t="str">
            <v>EM00000000</v>
          </cell>
          <cell r="D199" t="str">
            <v>SY035-D</v>
          </cell>
        </row>
        <row r="200">
          <cell r="C200" t="str">
            <v>EM00000000</v>
          </cell>
          <cell r="D200" t="str">
            <v>SY030-D</v>
          </cell>
        </row>
        <row r="201">
          <cell r="C201" t="str">
            <v>EM00015624</v>
          </cell>
          <cell r="D201" t="str">
            <v>BA011-D</v>
          </cell>
        </row>
        <row r="202">
          <cell r="C202" t="str">
            <v>EM00000000</v>
          </cell>
          <cell r="D202" t="str">
            <v>BA012-D</v>
          </cell>
        </row>
        <row r="203">
          <cell r="C203" t="str">
            <v>EM00016021</v>
          </cell>
          <cell r="D203" t="str">
            <v>BA013-D</v>
          </cell>
        </row>
        <row r="204">
          <cell r="C204" t="str">
            <v>EM00015613</v>
          </cell>
          <cell r="D204" t="str">
            <v>BA014-D</v>
          </cell>
        </row>
        <row r="205">
          <cell r="C205" t="str">
            <v>EM00016026</v>
          </cell>
          <cell r="D205" t="str">
            <v>BA015-D</v>
          </cell>
        </row>
        <row r="206">
          <cell r="C206" t="str">
            <v>EM00016016</v>
          </cell>
          <cell r="D206" t="str">
            <v>BA016-D</v>
          </cell>
        </row>
        <row r="207">
          <cell r="C207" t="str">
            <v>EM00015659</v>
          </cell>
          <cell r="D207" t="str">
            <v>BA010-D</v>
          </cell>
        </row>
        <row r="208">
          <cell r="C208" t="str">
            <v>EM00015612</v>
          </cell>
          <cell r="D208" t="str">
            <v>BA021-D</v>
          </cell>
        </row>
        <row r="209">
          <cell r="C209" t="str">
            <v>EM00016028</v>
          </cell>
          <cell r="D209" t="str">
            <v>BA022-D</v>
          </cell>
        </row>
        <row r="210">
          <cell r="C210" t="str">
            <v>EM00015603</v>
          </cell>
          <cell r="D210" t="str">
            <v>BA023-D</v>
          </cell>
        </row>
        <row r="211">
          <cell r="C211" t="str">
            <v>EM00015716</v>
          </cell>
          <cell r="D211" t="str">
            <v>BA024-D</v>
          </cell>
        </row>
        <row r="212">
          <cell r="C212" t="str">
            <v>EM00016018</v>
          </cell>
          <cell r="D212" t="str">
            <v>BA025-D</v>
          </cell>
        </row>
        <row r="213">
          <cell r="C213" t="str">
            <v>EM00016464</v>
          </cell>
          <cell r="D213" t="str">
            <v>BA020-D</v>
          </cell>
        </row>
        <row r="214">
          <cell r="C214" t="str">
            <v>EM00015580</v>
          </cell>
          <cell r="D214" t="str">
            <v>FA011-D</v>
          </cell>
        </row>
        <row r="215">
          <cell r="C215" t="str">
            <v>EM00015583</v>
          </cell>
          <cell r="D215" t="str">
            <v>FA012-D</v>
          </cell>
        </row>
        <row r="216">
          <cell r="C216" t="str">
            <v>EM00016013</v>
          </cell>
          <cell r="D216" t="str">
            <v>FA013-D</v>
          </cell>
        </row>
        <row r="217">
          <cell r="C217" t="str">
            <v>EM00016203</v>
          </cell>
          <cell r="D217" t="str">
            <v>FA014-D</v>
          </cell>
        </row>
        <row r="218">
          <cell r="C218" t="str">
            <v>EM00000000</v>
          </cell>
          <cell r="D218" t="str">
            <v>FA015-D</v>
          </cell>
        </row>
        <row r="219">
          <cell r="C219" t="str">
            <v>EM00016283</v>
          </cell>
          <cell r="D219" t="str">
            <v>FA016-D</v>
          </cell>
        </row>
        <row r="220">
          <cell r="C220" t="str">
            <v>EM00002440</v>
          </cell>
          <cell r="D220" t="str">
            <v>FA010-D</v>
          </cell>
        </row>
        <row r="221">
          <cell r="C221" t="str">
            <v>EM00016493</v>
          </cell>
          <cell r="D221" t="str">
            <v>JA011-D</v>
          </cell>
        </row>
        <row r="222">
          <cell r="C222" t="str">
            <v>EM00000000</v>
          </cell>
          <cell r="D222" t="str">
            <v>JA012-D</v>
          </cell>
        </row>
        <row r="223">
          <cell r="C223" t="str">
            <v>EM00015591</v>
          </cell>
          <cell r="D223" t="str">
            <v>JA013-D</v>
          </cell>
        </row>
        <row r="224">
          <cell r="C224" t="str">
            <v>EM00016059</v>
          </cell>
          <cell r="D224" t="str">
            <v>JA014-D</v>
          </cell>
        </row>
        <row r="225">
          <cell r="C225" t="str">
            <v>EM00016051</v>
          </cell>
          <cell r="D225" t="str">
            <v>JA015-D</v>
          </cell>
        </row>
        <row r="226">
          <cell r="C226" t="str">
            <v>EM00011191</v>
          </cell>
          <cell r="D226" t="str">
            <v>JA010-D</v>
          </cell>
        </row>
        <row r="227">
          <cell r="C227" t="str">
            <v>EM00015623</v>
          </cell>
          <cell r="D227" t="str">
            <v>JA021-D</v>
          </cell>
        </row>
        <row r="228">
          <cell r="C228" t="str">
            <v>EM00016023</v>
          </cell>
          <cell r="D228" t="str">
            <v>JA022-D</v>
          </cell>
        </row>
        <row r="229">
          <cell r="C229" t="str">
            <v>EM00015599</v>
          </cell>
          <cell r="D229" t="str">
            <v>JA023-D</v>
          </cell>
        </row>
        <row r="230">
          <cell r="C230" t="str">
            <v>EM00016025</v>
          </cell>
          <cell r="D230" t="str">
            <v>JA024-D</v>
          </cell>
        </row>
        <row r="231">
          <cell r="C231" t="str">
            <v>EM00016291</v>
          </cell>
          <cell r="D231" t="str">
            <v>JA020-D</v>
          </cell>
        </row>
        <row r="232">
          <cell r="C232" t="str">
            <v>EM00016478</v>
          </cell>
          <cell r="D232" t="str">
            <v>JA031-D</v>
          </cell>
        </row>
        <row r="233">
          <cell r="C233" t="str">
            <v>EM00016029</v>
          </cell>
          <cell r="D233" t="str">
            <v>JA032-D</v>
          </cell>
        </row>
        <row r="234">
          <cell r="C234" t="str">
            <v>EM00016030</v>
          </cell>
          <cell r="D234" t="str">
            <v>KH011-D</v>
          </cell>
        </row>
        <row r="235">
          <cell r="C235" t="str">
            <v>EM00016048</v>
          </cell>
          <cell r="D235" t="str">
            <v>KH012-D</v>
          </cell>
        </row>
        <row r="236">
          <cell r="C236" t="str">
            <v>EM00016031</v>
          </cell>
          <cell r="D236" t="str">
            <v>KH013-D</v>
          </cell>
        </row>
        <row r="237">
          <cell r="C237" t="str">
            <v>EM00016463</v>
          </cell>
          <cell r="D237" t="str">
            <v>KH010-D</v>
          </cell>
        </row>
        <row r="238">
          <cell r="C238" t="str">
            <v>EM00016274</v>
          </cell>
          <cell r="D238" t="str">
            <v>FA021-D</v>
          </cell>
        </row>
        <row r="239">
          <cell r="C239" t="str">
            <v>EM00016054</v>
          </cell>
          <cell r="D239" t="str">
            <v>KH021-D</v>
          </cell>
        </row>
        <row r="240">
          <cell r="C240" t="str">
            <v>EM00015600</v>
          </cell>
          <cell r="D240" t="str">
            <v>KH022-D</v>
          </cell>
        </row>
        <row r="241">
          <cell r="C241" t="str">
            <v>EM00016286</v>
          </cell>
          <cell r="D241" t="str">
            <v>KH023-D</v>
          </cell>
        </row>
        <row r="242">
          <cell r="C242" t="str">
            <v>EM00016040</v>
          </cell>
          <cell r="D242" t="str">
            <v>KH024-D</v>
          </cell>
        </row>
        <row r="243">
          <cell r="C243" t="str">
            <v>EM00015658</v>
          </cell>
          <cell r="D243" t="str">
            <v>KH020-D</v>
          </cell>
        </row>
        <row r="244">
          <cell r="C244" t="str">
            <v>EM00015620</v>
          </cell>
          <cell r="D244" t="str">
            <v>BO021-D</v>
          </cell>
        </row>
        <row r="245">
          <cell r="C245" t="str">
            <v>EM00015604</v>
          </cell>
          <cell r="D245" t="str">
            <v>BO022-D</v>
          </cell>
        </row>
        <row r="246">
          <cell r="C246" t="str">
            <v>EM00015622</v>
          </cell>
          <cell r="D246" t="str">
            <v>BO023-D</v>
          </cell>
        </row>
        <row r="247">
          <cell r="C247" t="str">
            <v>EM00016492</v>
          </cell>
          <cell r="D247" t="str">
            <v>BO024-D</v>
          </cell>
        </row>
        <row r="248">
          <cell r="C248" t="str">
            <v>EM00016255</v>
          </cell>
          <cell r="D248" t="str">
            <v>BO025-D</v>
          </cell>
        </row>
        <row r="249">
          <cell r="C249" t="str">
            <v>EM00016058</v>
          </cell>
          <cell r="D249" t="str">
            <v>BO026-D</v>
          </cell>
        </row>
        <row r="250">
          <cell r="C250" t="str">
            <v>EM00016256</v>
          </cell>
          <cell r="D250" t="str">
            <v>BO027-D</v>
          </cell>
        </row>
        <row r="251">
          <cell r="C251" t="str">
            <v>EM00009353</v>
          </cell>
          <cell r="D251" t="str">
            <v>BO020-D</v>
          </cell>
        </row>
        <row r="252">
          <cell r="C252" t="str">
            <v>EM00015602</v>
          </cell>
          <cell r="D252" t="str">
            <v>DI011-D</v>
          </cell>
        </row>
        <row r="253">
          <cell r="C253" t="str">
            <v>EM00016033</v>
          </cell>
          <cell r="D253" t="str">
            <v>DI012-D</v>
          </cell>
        </row>
        <row r="254">
          <cell r="C254" t="str">
            <v>EM00016047</v>
          </cell>
          <cell r="D254" t="str">
            <v>DI013-D</v>
          </cell>
        </row>
        <row r="255">
          <cell r="C255" t="str">
            <v>EM00016038</v>
          </cell>
          <cell r="D255" t="str">
            <v>DI014-D</v>
          </cell>
        </row>
        <row r="256">
          <cell r="C256" t="str">
            <v>EM00016042</v>
          </cell>
          <cell r="D256" t="str">
            <v>DI015-D</v>
          </cell>
        </row>
        <row r="257">
          <cell r="C257" t="str">
            <v>EM00015774</v>
          </cell>
          <cell r="D257" t="str">
            <v>DI010-D</v>
          </cell>
        </row>
        <row r="258">
          <cell r="C258" t="str">
            <v>EM00016062</v>
          </cell>
          <cell r="D258" t="str">
            <v>RN011-D</v>
          </cell>
        </row>
        <row r="259">
          <cell r="C259" t="str">
            <v>EM00016061</v>
          </cell>
          <cell r="D259" t="str">
            <v>RN012-D</v>
          </cell>
        </row>
        <row r="260">
          <cell r="C260" t="str">
            <v>EM00016285</v>
          </cell>
          <cell r="D260" t="str">
            <v>RN013-D</v>
          </cell>
        </row>
        <row r="261">
          <cell r="C261" t="str">
            <v>EM00016503</v>
          </cell>
          <cell r="D261" t="str">
            <v>RN014-D</v>
          </cell>
        </row>
        <row r="262">
          <cell r="C262" t="str">
            <v>EM00000000</v>
          </cell>
          <cell r="D262" t="str">
            <v>RN015-D</v>
          </cell>
        </row>
        <row r="263">
          <cell r="C263" t="str">
            <v>EM00000000</v>
          </cell>
          <cell r="D263" t="str">
            <v>RN010-D</v>
          </cell>
        </row>
        <row r="264">
          <cell r="C264" t="str">
            <v>EM00015618</v>
          </cell>
          <cell r="D264" t="str">
            <v>RN021-D</v>
          </cell>
        </row>
        <row r="265">
          <cell r="C265" t="str">
            <v>EM00015611</v>
          </cell>
          <cell r="D265" t="str">
            <v>RN022-D</v>
          </cell>
        </row>
        <row r="266">
          <cell r="C266" t="str">
            <v>EM00015995</v>
          </cell>
          <cell r="D266" t="str">
            <v>RN023-D</v>
          </cell>
        </row>
        <row r="267">
          <cell r="C267" t="str">
            <v>EM00015614</v>
          </cell>
          <cell r="D267" t="str">
            <v xml:space="preserve">RN024-D </v>
          </cell>
        </row>
        <row r="268">
          <cell r="C268" t="str">
            <v>EM00016489</v>
          </cell>
          <cell r="D268" t="str">
            <v xml:space="preserve">RN025-D </v>
          </cell>
        </row>
        <row r="269">
          <cell r="C269" t="str">
            <v>EM00000000</v>
          </cell>
          <cell r="D269" t="str">
            <v>RN020-D</v>
          </cell>
        </row>
        <row r="270">
          <cell r="C270" t="str">
            <v>EM00016406</v>
          </cell>
          <cell r="D270" t="str">
            <v>KU011-D</v>
          </cell>
        </row>
        <row r="271">
          <cell r="C271" t="str">
            <v>EM00016387</v>
          </cell>
          <cell r="D271" t="str">
            <v>KU012-D</v>
          </cell>
        </row>
        <row r="272">
          <cell r="C272" t="str">
            <v>EM00000000</v>
          </cell>
          <cell r="D272" t="str">
            <v>KU013-D</v>
          </cell>
        </row>
        <row r="273">
          <cell r="C273" t="str">
            <v>EM00000000</v>
          </cell>
          <cell r="D273" t="str">
            <v>KU014-D</v>
          </cell>
        </row>
        <row r="274">
          <cell r="C274" t="str">
            <v>EM00000000</v>
          </cell>
          <cell r="D274" t="str">
            <v>KU015-D</v>
          </cell>
        </row>
        <row r="275">
          <cell r="C275" t="str">
            <v>EM00000000</v>
          </cell>
          <cell r="D275" t="str">
            <v>KU010-D</v>
          </cell>
        </row>
        <row r="276">
          <cell r="C276" t="str">
            <v>EM00016405</v>
          </cell>
          <cell r="D276" t="str">
            <v>PB011-D</v>
          </cell>
        </row>
        <row r="277">
          <cell r="C277" t="str">
            <v>EM00016504</v>
          </cell>
          <cell r="D277" t="str">
            <v>PB012-D</v>
          </cell>
        </row>
        <row r="278">
          <cell r="C278" t="str">
            <v>EM00016460</v>
          </cell>
          <cell r="D278" t="str">
            <v>PB013-D</v>
          </cell>
        </row>
        <row r="279">
          <cell r="C279" t="str">
            <v>EM00000000</v>
          </cell>
          <cell r="D279" t="str">
            <v>PB014-D</v>
          </cell>
        </row>
        <row r="280">
          <cell r="C280" t="str">
            <v>EM00000000</v>
          </cell>
          <cell r="D280" t="str">
            <v>PB015-D</v>
          </cell>
        </row>
        <row r="281">
          <cell r="C281" t="str">
            <v>EM00000000</v>
          </cell>
          <cell r="D281" t="str">
            <v>PB010-D</v>
          </cell>
        </row>
        <row r="282">
          <cell r="C282" t="str">
            <v>EM00016410</v>
          </cell>
          <cell r="D282" t="str">
            <v>RA011-D</v>
          </cell>
        </row>
        <row r="283">
          <cell r="C283" t="str">
            <v>EM00016462</v>
          </cell>
          <cell r="D283" t="str">
            <v>RA012-D</v>
          </cell>
        </row>
        <row r="284">
          <cell r="C284" t="str">
            <v>EM00000000</v>
          </cell>
          <cell r="D284" t="str">
            <v>RA013-D</v>
          </cell>
        </row>
        <row r="285">
          <cell r="C285" t="str">
            <v>EM00016415</v>
          </cell>
          <cell r="D285" t="str">
            <v>RA014-D</v>
          </cell>
        </row>
        <row r="286">
          <cell r="C286" t="str">
            <v>EM00016397</v>
          </cell>
          <cell r="D286" t="str">
            <v>RA015-D</v>
          </cell>
        </row>
        <row r="287">
          <cell r="C287" t="str">
            <v>EM00016485</v>
          </cell>
          <cell r="D287" t="str">
            <v>RA010-D</v>
          </cell>
        </row>
        <row r="288">
          <cell r="C288" t="str">
            <v>EM00016409</v>
          </cell>
          <cell r="D288" t="str">
            <v>RA021-D</v>
          </cell>
        </row>
        <row r="289">
          <cell r="C289" t="str">
            <v>EM00016254</v>
          </cell>
          <cell r="D289" t="str">
            <v>RA022-D</v>
          </cell>
        </row>
        <row r="290">
          <cell r="C290" t="str">
            <v>EM00016424</v>
          </cell>
          <cell r="D290" t="str">
            <v>RA023-D</v>
          </cell>
        </row>
        <row r="291">
          <cell r="C291" t="str">
            <v>EM00016411</v>
          </cell>
          <cell r="D291" t="str">
            <v>RA024-D</v>
          </cell>
        </row>
        <row r="292">
          <cell r="C292" t="str">
            <v>EM00016418</v>
          </cell>
          <cell r="D292" t="str">
            <v>RA025-D</v>
          </cell>
        </row>
        <row r="293">
          <cell r="C293" t="str">
            <v>EM00016465</v>
          </cell>
          <cell r="D293" t="str">
            <v>RA020-D</v>
          </cell>
        </row>
        <row r="294">
          <cell r="C294" t="str">
            <v>EM00016517</v>
          </cell>
          <cell r="D294" t="str">
            <v>BO011-D</v>
          </cell>
        </row>
        <row r="295">
          <cell r="C295" t="str">
            <v>EM00016253</v>
          </cell>
          <cell r="D295" t="str">
            <v>BO012-D</v>
          </cell>
        </row>
        <row r="296">
          <cell r="C296" t="str">
            <v>EM00015718</v>
          </cell>
          <cell r="D296" t="str">
            <v>BO013-D</v>
          </cell>
        </row>
        <row r="297">
          <cell r="C297" t="str">
            <v>EM00015751</v>
          </cell>
          <cell r="D297" t="str">
            <v>BO014-D</v>
          </cell>
        </row>
        <row r="298">
          <cell r="C298" t="str">
            <v>EM00015739</v>
          </cell>
          <cell r="D298" t="str">
            <v>BO015-D</v>
          </cell>
        </row>
        <row r="299">
          <cell r="C299" t="str">
            <v>EM00016194</v>
          </cell>
          <cell r="D299" t="str">
            <v>BO010-D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zoomScale="130" zoomScaleNormal="130" workbookViewId="0">
      <selection activeCell="K7" sqref="K7"/>
    </sheetView>
  </sheetViews>
  <sheetFormatPr defaultRowHeight="15" x14ac:dyDescent="0.25"/>
  <cols>
    <col min="1" max="1" width="13" customWidth="1"/>
    <col min="2" max="2" width="11.42578125" customWidth="1"/>
    <col min="3" max="3" width="12.28515625" customWidth="1"/>
    <col min="4" max="4" width="22.5703125" style="1" customWidth="1"/>
    <col min="6" max="6" width="6.28515625" style="8" customWidth="1"/>
    <col min="7" max="7" width="9.140625" style="8"/>
  </cols>
  <sheetData>
    <row r="1" spans="1:7" x14ac:dyDescent="0.25">
      <c r="A1" s="7" t="s">
        <v>9</v>
      </c>
      <c r="B1" s="7" t="s">
        <v>0</v>
      </c>
      <c r="C1" s="7" t="s">
        <v>10</v>
      </c>
      <c r="D1" s="9" t="s">
        <v>11</v>
      </c>
      <c r="F1" s="38" t="s">
        <v>33</v>
      </c>
      <c r="G1" s="39"/>
    </row>
    <row r="2" spans="1:7" x14ac:dyDescent="0.25">
      <c r="A2" s="9">
        <v>1</v>
      </c>
      <c r="B2" s="10" t="s">
        <v>8</v>
      </c>
      <c r="C2" s="9" t="s">
        <v>12</v>
      </c>
      <c r="D2" s="9" t="s">
        <v>478</v>
      </c>
      <c r="F2" s="40" t="s">
        <v>8</v>
      </c>
      <c r="G2" s="39" t="s">
        <v>25</v>
      </c>
    </row>
    <row r="3" spans="1:7" x14ac:dyDescent="0.25">
      <c r="A3" s="9">
        <v>2</v>
      </c>
      <c r="B3" s="10" t="s">
        <v>8</v>
      </c>
      <c r="C3" s="9" t="s">
        <v>13</v>
      </c>
      <c r="D3" s="9" t="s">
        <v>52</v>
      </c>
      <c r="F3" s="40" t="s">
        <v>32</v>
      </c>
      <c r="G3" s="39" t="s">
        <v>27</v>
      </c>
    </row>
    <row r="4" spans="1:7" x14ac:dyDescent="0.25">
      <c r="A4" s="9">
        <v>2</v>
      </c>
      <c r="B4" s="10" t="s">
        <v>8</v>
      </c>
      <c r="C4" s="9" t="s">
        <v>14</v>
      </c>
      <c r="D4" s="9" t="s">
        <v>53</v>
      </c>
      <c r="F4" s="40" t="s">
        <v>34</v>
      </c>
      <c r="G4" s="39" t="s">
        <v>28</v>
      </c>
    </row>
    <row r="5" spans="1:7" x14ac:dyDescent="0.25">
      <c r="A5" s="9">
        <v>4</v>
      </c>
      <c r="B5" s="10" t="s">
        <v>8</v>
      </c>
      <c r="C5" s="9" t="s">
        <v>15</v>
      </c>
      <c r="D5" s="9" t="s">
        <v>1</v>
      </c>
      <c r="F5" s="40" t="s">
        <v>35</v>
      </c>
      <c r="G5" s="39" t="s">
        <v>26</v>
      </c>
    </row>
    <row r="6" spans="1:7" x14ac:dyDescent="0.25">
      <c r="A6" s="9">
        <v>4</v>
      </c>
      <c r="B6" s="10" t="s">
        <v>8</v>
      </c>
      <c r="C6" s="9" t="s">
        <v>16</v>
      </c>
      <c r="D6" s="9" t="s">
        <v>2</v>
      </c>
      <c r="F6" s="40">
        <v>11</v>
      </c>
      <c r="G6" s="39" t="s">
        <v>208</v>
      </c>
    </row>
    <row r="7" spans="1:7" x14ac:dyDescent="0.25">
      <c r="A7" s="9">
        <v>6</v>
      </c>
      <c r="B7" s="10" t="s">
        <v>8</v>
      </c>
      <c r="C7" s="9" t="s">
        <v>17</v>
      </c>
      <c r="D7" s="9" t="s">
        <v>3</v>
      </c>
    </row>
    <row r="8" spans="1:7" x14ac:dyDescent="0.25">
      <c r="A8" s="9">
        <v>7</v>
      </c>
      <c r="B8" s="10" t="s">
        <v>8</v>
      </c>
      <c r="C8" s="9" t="s">
        <v>18</v>
      </c>
      <c r="D8" s="9" t="s">
        <v>4</v>
      </c>
    </row>
    <row r="9" spans="1:7" x14ac:dyDescent="0.25">
      <c r="A9" s="9">
        <v>8</v>
      </c>
      <c r="B9" s="10" t="s">
        <v>8</v>
      </c>
      <c r="C9" s="9" t="s">
        <v>19</v>
      </c>
      <c r="D9" s="9" t="s">
        <v>54</v>
      </c>
    </row>
    <row r="10" spans="1:7" x14ac:dyDescent="0.25">
      <c r="A10" s="9">
        <v>9</v>
      </c>
      <c r="B10" s="10" t="s">
        <v>8</v>
      </c>
      <c r="C10" s="9" t="s">
        <v>20</v>
      </c>
      <c r="D10" s="9" t="s">
        <v>5</v>
      </c>
    </row>
    <row r="11" spans="1:7" x14ac:dyDescent="0.25">
      <c r="A11" s="9">
        <v>10</v>
      </c>
      <c r="B11" s="10" t="s">
        <v>8</v>
      </c>
      <c r="C11" s="9" t="s">
        <v>21</v>
      </c>
      <c r="D11" s="9" t="s">
        <v>6</v>
      </c>
    </row>
    <row r="12" spans="1:7" x14ac:dyDescent="0.25">
      <c r="A12" s="9">
        <v>11</v>
      </c>
      <c r="B12" s="10" t="s">
        <v>8</v>
      </c>
      <c r="C12" s="9" t="s">
        <v>22</v>
      </c>
      <c r="D12" s="9" t="s">
        <v>7</v>
      </c>
    </row>
    <row r="13" spans="1:7" x14ac:dyDescent="0.25">
      <c r="A13" s="9">
        <v>12</v>
      </c>
      <c r="B13" s="10" t="s">
        <v>8</v>
      </c>
      <c r="C13" s="9" t="s">
        <v>22</v>
      </c>
      <c r="D13" s="9" t="s">
        <v>38</v>
      </c>
    </row>
    <row r="14" spans="1:7" x14ac:dyDescent="0.25">
      <c r="A14" s="33">
        <v>1</v>
      </c>
      <c r="D14" s="1" t="s">
        <v>476</v>
      </c>
    </row>
    <row r="15" spans="1:7" x14ac:dyDescent="0.25">
      <c r="A15" s="33">
        <v>1</v>
      </c>
      <c r="D15" s="1" t="s">
        <v>582</v>
      </c>
    </row>
    <row r="16" spans="1:7" x14ac:dyDescent="0.25">
      <c r="A16" s="33">
        <v>1</v>
      </c>
      <c r="D16" s="1" t="s">
        <v>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A3" zoomScale="130" zoomScaleNormal="130" workbookViewId="0">
      <selection activeCell="H24" sqref="H24"/>
    </sheetView>
  </sheetViews>
  <sheetFormatPr defaultColWidth="9.140625" defaultRowHeight="15" x14ac:dyDescent="0.25"/>
  <cols>
    <col min="1" max="1" width="13.42578125" style="4" customWidth="1"/>
    <col min="2" max="2" width="10" style="5" customWidth="1"/>
    <col min="3" max="3" width="12.85546875" style="5" customWidth="1"/>
    <col min="4" max="5" width="14.28515625" style="6" customWidth="1"/>
    <col min="6" max="6" width="12.28515625" style="3" customWidth="1"/>
    <col min="7" max="7" width="15.28515625" style="3" bestFit="1" customWidth="1"/>
    <col min="8" max="8" width="10.140625" style="3" bestFit="1" customWidth="1"/>
    <col min="9" max="9" width="16.42578125" style="3" bestFit="1" customWidth="1"/>
    <col min="10" max="16384" width="9.140625" style="3"/>
  </cols>
  <sheetData>
    <row r="1" spans="1:9" ht="21" customHeight="1" x14ac:dyDescent="0.25">
      <c r="A1" s="59" t="s">
        <v>23</v>
      </c>
      <c r="B1" s="60" t="s">
        <v>0</v>
      </c>
      <c r="C1" s="60" t="s">
        <v>37</v>
      </c>
      <c r="D1" s="61" t="s">
        <v>24</v>
      </c>
      <c r="E1" s="32"/>
    </row>
    <row r="2" spans="1:9" ht="15" customHeight="1" x14ac:dyDescent="0.25">
      <c r="A2" s="2">
        <v>1311</v>
      </c>
      <c r="B2" s="22" t="s">
        <v>205</v>
      </c>
      <c r="C2" s="22" t="s">
        <v>207</v>
      </c>
      <c r="D2" s="21" t="s">
        <v>202</v>
      </c>
      <c r="E2" s="56"/>
      <c r="H2" s="34" t="s">
        <v>23</v>
      </c>
      <c r="I2" s="35" t="s">
        <v>584</v>
      </c>
    </row>
    <row r="3" spans="1:9" s="23" customFormat="1" ht="15" customHeight="1" x14ac:dyDescent="0.25">
      <c r="A3" s="2">
        <v>1312</v>
      </c>
      <c r="B3" s="22" t="s">
        <v>205</v>
      </c>
      <c r="C3" s="22" t="s">
        <v>207</v>
      </c>
      <c r="D3" s="24" t="s">
        <v>202</v>
      </c>
      <c r="E3" s="56"/>
      <c r="H3" s="35">
        <v>1310</v>
      </c>
      <c r="I3" s="36" t="s">
        <v>585</v>
      </c>
    </row>
    <row r="4" spans="1:9" ht="15" customHeight="1" x14ac:dyDescent="0.25">
      <c r="A4" s="2">
        <v>1314</v>
      </c>
      <c r="B4" s="22" t="s">
        <v>205</v>
      </c>
      <c r="C4" s="22" t="s">
        <v>207</v>
      </c>
      <c r="D4" s="24" t="s">
        <v>202</v>
      </c>
      <c r="E4" s="56"/>
      <c r="H4" s="35">
        <v>1311</v>
      </c>
      <c r="I4" s="36" t="s">
        <v>606</v>
      </c>
    </row>
    <row r="5" spans="1:9" ht="15" customHeight="1" x14ac:dyDescent="0.25">
      <c r="A5" s="58">
        <v>1329</v>
      </c>
      <c r="B5" s="22" t="s">
        <v>205</v>
      </c>
      <c r="C5" s="22" t="s">
        <v>207</v>
      </c>
      <c r="D5" s="21" t="s">
        <v>202</v>
      </c>
      <c r="E5" s="56"/>
      <c r="H5" s="35">
        <v>1312</v>
      </c>
      <c r="I5" s="36" t="s">
        <v>597</v>
      </c>
    </row>
    <row r="6" spans="1:9" ht="15" customHeight="1" x14ac:dyDescent="0.25">
      <c r="A6" s="2">
        <v>1334</v>
      </c>
      <c r="B6" s="22" t="s">
        <v>205</v>
      </c>
      <c r="C6" s="22" t="s">
        <v>207</v>
      </c>
      <c r="D6" s="21" t="s">
        <v>202</v>
      </c>
      <c r="E6" s="56"/>
      <c r="H6" s="35">
        <v>1313</v>
      </c>
      <c r="I6" s="36" t="s">
        <v>586</v>
      </c>
    </row>
    <row r="7" spans="1:9" ht="15" customHeight="1" x14ac:dyDescent="0.25">
      <c r="A7" s="2">
        <v>1310</v>
      </c>
      <c r="B7" s="22" t="s">
        <v>205</v>
      </c>
      <c r="C7" s="22" t="s">
        <v>36</v>
      </c>
      <c r="D7" s="20" t="s">
        <v>204</v>
      </c>
      <c r="E7" s="57"/>
      <c r="H7" s="35">
        <v>1314</v>
      </c>
      <c r="I7" s="36" t="s">
        <v>598</v>
      </c>
    </row>
    <row r="8" spans="1:9" ht="15" customHeight="1" x14ac:dyDescent="0.25">
      <c r="A8" s="2">
        <v>1313</v>
      </c>
      <c r="B8" s="22" t="s">
        <v>205</v>
      </c>
      <c r="C8" s="22" t="s">
        <v>36</v>
      </c>
      <c r="D8" s="20" t="s">
        <v>204</v>
      </c>
      <c r="E8" s="57"/>
      <c r="H8" s="35">
        <v>1315</v>
      </c>
      <c r="I8" s="36" t="s">
        <v>593</v>
      </c>
    </row>
    <row r="9" spans="1:9" ht="15" customHeight="1" x14ac:dyDescent="0.25">
      <c r="A9" s="2">
        <v>1324</v>
      </c>
      <c r="B9" s="22" t="s">
        <v>205</v>
      </c>
      <c r="C9" s="22" t="s">
        <v>36</v>
      </c>
      <c r="D9" s="20" t="s">
        <v>204</v>
      </c>
      <c r="E9" s="57"/>
      <c r="H9" s="35">
        <v>1316</v>
      </c>
      <c r="I9" s="36" t="s">
        <v>599</v>
      </c>
    </row>
    <row r="10" spans="1:9" ht="15" customHeight="1" x14ac:dyDescent="0.25">
      <c r="A10" s="2">
        <v>1325</v>
      </c>
      <c r="B10" s="22" t="s">
        <v>205</v>
      </c>
      <c r="C10" s="22" t="s">
        <v>36</v>
      </c>
      <c r="D10" s="20" t="s">
        <v>204</v>
      </c>
      <c r="E10" s="57"/>
      <c r="H10" s="35">
        <v>1317</v>
      </c>
      <c r="I10" s="36" t="s">
        <v>600</v>
      </c>
    </row>
    <row r="11" spans="1:9" ht="15" customHeight="1" x14ac:dyDescent="0.25">
      <c r="A11" s="2">
        <v>1326</v>
      </c>
      <c r="B11" s="22" t="s">
        <v>205</v>
      </c>
      <c r="C11" s="22" t="s">
        <v>36</v>
      </c>
      <c r="D11" s="20" t="s">
        <v>204</v>
      </c>
      <c r="E11" s="57"/>
      <c r="H11" s="35">
        <v>1318</v>
      </c>
      <c r="I11" s="36" t="s">
        <v>594</v>
      </c>
    </row>
    <row r="12" spans="1:9" ht="15" customHeight="1" x14ac:dyDescent="0.25">
      <c r="A12" s="2">
        <v>1327</v>
      </c>
      <c r="B12" s="22" t="s">
        <v>205</v>
      </c>
      <c r="C12" s="22" t="s">
        <v>36</v>
      </c>
      <c r="D12" s="20" t="s">
        <v>204</v>
      </c>
      <c r="E12" s="57"/>
      <c r="H12" s="35">
        <v>1319</v>
      </c>
      <c r="I12" s="36" t="s">
        <v>601</v>
      </c>
    </row>
    <row r="13" spans="1:9" ht="15" customHeight="1" x14ac:dyDescent="0.25">
      <c r="A13" s="2">
        <v>1336</v>
      </c>
      <c r="B13" s="22" t="s">
        <v>205</v>
      </c>
      <c r="C13" s="22" t="s">
        <v>36</v>
      </c>
      <c r="D13" s="20" t="s">
        <v>204</v>
      </c>
      <c r="E13" s="57"/>
      <c r="H13" s="35">
        <v>1320</v>
      </c>
      <c r="I13" s="36" t="s">
        <v>607</v>
      </c>
    </row>
    <row r="14" spans="1:9" ht="15" customHeight="1" x14ac:dyDescent="0.25">
      <c r="A14" s="2">
        <v>1320</v>
      </c>
      <c r="B14" s="22" t="s">
        <v>205</v>
      </c>
      <c r="C14" s="22" t="s">
        <v>36</v>
      </c>
      <c r="D14" s="20" t="s">
        <v>204</v>
      </c>
      <c r="E14" s="57"/>
      <c r="H14" s="35">
        <v>1321</v>
      </c>
      <c r="I14" s="36" t="s">
        <v>608</v>
      </c>
    </row>
    <row r="15" spans="1:9" ht="15" customHeight="1" x14ac:dyDescent="0.25">
      <c r="A15" s="2">
        <v>1323</v>
      </c>
      <c r="B15" s="22" t="s">
        <v>205</v>
      </c>
      <c r="C15" s="22" t="s">
        <v>36</v>
      </c>
      <c r="D15" s="20" t="s">
        <v>204</v>
      </c>
      <c r="E15" s="57"/>
      <c r="H15" s="35">
        <v>1322</v>
      </c>
      <c r="I15" s="36" t="s">
        <v>609</v>
      </c>
    </row>
    <row r="16" spans="1:9" ht="15" customHeight="1" x14ac:dyDescent="0.25">
      <c r="A16" s="2">
        <v>1322</v>
      </c>
      <c r="B16" s="22" t="s">
        <v>205</v>
      </c>
      <c r="C16" s="22" t="s">
        <v>36</v>
      </c>
      <c r="D16" s="20" t="s">
        <v>204</v>
      </c>
      <c r="E16" s="57"/>
      <c r="H16" s="35">
        <v>1323</v>
      </c>
      <c r="I16" s="36" t="s">
        <v>610</v>
      </c>
    </row>
    <row r="17" spans="1:9" x14ac:dyDescent="0.25">
      <c r="A17" s="55">
        <v>1315</v>
      </c>
      <c r="B17" s="22" t="s">
        <v>205</v>
      </c>
      <c r="C17" s="22" t="s">
        <v>207</v>
      </c>
      <c r="D17" s="21" t="s">
        <v>202</v>
      </c>
      <c r="E17" s="56"/>
      <c r="H17" s="35">
        <v>1324</v>
      </c>
      <c r="I17" s="36" t="s">
        <v>587</v>
      </c>
    </row>
    <row r="18" spans="1:9" x14ac:dyDescent="0.25">
      <c r="A18" s="55">
        <v>1318</v>
      </c>
      <c r="B18" s="22" t="s">
        <v>205</v>
      </c>
      <c r="C18" s="22" t="s">
        <v>207</v>
      </c>
      <c r="D18" s="24" t="s">
        <v>202</v>
      </c>
      <c r="E18" s="56"/>
      <c r="H18" s="35">
        <v>1325</v>
      </c>
      <c r="I18" s="36" t="s">
        <v>588</v>
      </c>
    </row>
    <row r="19" spans="1:9" x14ac:dyDescent="0.25">
      <c r="A19" s="55">
        <v>1319</v>
      </c>
      <c r="B19" s="22" t="s">
        <v>205</v>
      </c>
      <c r="C19" s="22" t="s">
        <v>207</v>
      </c>
      <c r="D19" s="24" t="s">
        <v>202</v>
      </c>
      <c r="E19" s="56"/>
      <c r="H19" s="35">
        <v>1326</v>
      </c>
      <c r="I19" s="36" t="s">
        <v>589</v>
      </c>
    </row>
    <row r="20" spans="1:9" x14ac:dyDescent="0.25">
      <c r="A20" s="55">
        <v>1328</v>
      </c>
      <c r="B20" s="22" t="s">
        <v>205</v>
      </c>
      <c r="C20" s="22" t="s">
        <v>207</v>
      </c>
      <c r="D20" s="21" t="s">
        <v>202</v>
      </c>
      <c r="E20" s="56"/>
      <c r="H20" s="35">
        <v>1327</v>
      </c>
      <c r="I20" s="36" t="s">
        <v>590</v>
      </c>
    </row>
    <row r="21" spans="1:9" x14ac:dyDescent="0.25">
      <c r="A21" s="55">
        <v>1316</v>
      </c>
      <c r="B21" s="22" t="s">
        <v>205</v>
      </c>
      <c r="C21" s="22" t="s">
        <v>36</v>
      </c>
      <c r="D21" s="20" t="s">
        <v>204</v>
      </c>
      <c r="E21" s="57"/>
      <c r="H21" s="35">
        <v>1328</v>
      </c>
      <c r="I21" s="36" t="s">
        <v>595</v>
      </c>
    </row>
    <row r="22" spans="1:9" x14ac:dyDescent="0.25">
      <c r="A22" s="55">
        <v>1317</v>
      </c>
      <c r="B22" s="22" t="s">
        <v>205</v>
      </c>
      <c r="C22" s="22" t="s">
        <v>36</v>
      </c>
      <c r="D22" s="20" t="s">
        <v>204</v>
      </c>
      <c r="E22" s="57"/>
      <c r="H22" s="37">
        <v>1329</v>
      </c>
      <c r="I22" s="36" t="s">
        <v>602</v>
      </c>
    </row>
    <row r="23" spans="1:9" x14ac:dyDescent="0.25">
      <c r="A23" s="55">
        <v>1331</v>
      </c>
      <c r="B23" s="22" t="s">
        <v>205</v>
      </c>
      <c r="C23" s="22" t="s">
        <v>36</v>
      </c>
      <c r="D23" s="20" t="s">
        <v>204</v>
      </c>
      <c r="E23" s="57"/>
      <c r="H23" s="35">
        <v>1330</v>
      </c>
      <c r="I23" s="36" t="s">
        <v>611</v>
      </c>
    </row>
    <row r="24" spans="1:9" x14ac:dyDescent="0.25">
      <c r="A24" s="55">
        <v>1332</v>
      </c>
      <c r="B24" s="22" t="s">
        <v>205</v>
      </c>
      <c r="C24" s="22" t="s">
        <v>36</v>
      </c>
      <c r="D24" s="20" t="s">
        <v>204</v>
      </c>
      <c r="E24" s="57"/>
      <c r="H24" s="35">
        <v>1331</v>
      </c>
      <c r="I24" s="36" t="s">
        <v>596</v>
      </c>
    </row>
    <row r="25" spans="1:9" x14ac:dyDescent="0.25">
      <c r="A25" s="55">
        <v>1333</v>
      </c>
      <c r="B25" s="22" t="s">
        <v>205</v>
      </c>
      <c r="C25" s="22" t="s">
        <v>36</v>
      </c>
      <c r="D25" s="20" t="s">
        <v>204</v>
      </c>
      <c r="E25" s="57"/>
      <c r="H25" s="35">
        <v>1332</v>
      </c>
      <c r="I25" s="36" t="s">
        <v>603</v>
      </c>
    </row>
    <row r="26" spans="1:9" x14ac:dyDescent="0.25">
      <c r="A26" s="55">
        <v>1321</v>
      </c>
      <c r="B26" s="22" t="s">
        <v>205</v>
      </c>
      <c r="C26" s="22" t="s">
        <v>207</v>
      </c>
      <c r="D26" s="24" t="s">
        <v>202</v>
      </c>
      <c r="E26" s="56"/>
      <c r="H26" s="35">
        <v>1333</v>
      </c>
      <c r="I26" s="36" t="s">
        <v>604</v>
      </c>
    </row>
    <row r="27" spans="1:9" x14ac:dyDescent="0.25">
      <c r="A27" s="55">
        <v>1335</v>
      </c>
      <c r="B27" s="22" t="s">
        <v>205</v>
      </c>
      <c r="C27" s="22" t="s">
        <v>207</v>
      </c>
      <c r="D27" s="24" t="s">
        <v>202</v>
      </c>
      <c r="E27" s="56"/>
      <c r="H27" s="35">
        <v>1334</v>
      </c>
      <c r="I27" s="36" t="s">
        <v>605</v>
      </c>
    </row>
    <row r="28" spans="1:9" x14ac:dyDescent="0.25">
      <c r="A28" s="55">
        <v>1330</v>
      </c>
      <c r="B28" s="22" t="s">
        <v>205</v>
      </c>
      <c r="C28" s="22" t="s">
        <v>207</v>
      </c>
      <c r="D28" s="21" t="s">
        <v>202</v>
      </c>
      <c r="E28" s="56"/>
      <c r="H28" s="35">
        <v>1335</v>
      </c>
      <c r="I28" s="36" t="s">
        <v>591</v>
      </c>
    </row>
    <row r="29" spans="1:9" x14ac:dyDescent="0.25">
      <c r="A29" s="54"/>
      <c r="H29" s="35">
        <v>1336</v>
      </c>
      <c r="I29" s="36" t="s">
        <v>592</v>
      </c>
    </row>
    <row r="30" spans="1:9" x14ac:dyDescent="0.25">
      <c r="A30" s="35"/>
    </row>
    <row r="31" spans="1:9" x14ac:dyDescent="0.25">
      <c r="A31" s="35"/>
    </row>
  </sheetData>
  <sortState xmlns:xlrd2="http://schemas.microsoft.com/office/spreadsheetml/2017/richdata2" ref="H3:I29">
    <sortCondition ref="H3:H29"/>
  </sortState>
  <phoneticPr fontId="53" type="noConversion"/>
  <conditionalFormatting sqref="A17">
    <cfRule type="duplicateValues" dxfId="22" priority="7"/>
  </conditionalFormatting>
  <conditionalFormatting sqref="A18:A19">
    <cfRule type="duplicateValues" dxfId="21" priority="25"/>
  </conditionalFormatting>
  <conditionalFormatting sqref="A20">
    <cfRule type="duplicateValues" dxfId="20" priority="8"/>
  </conditionalFormatting>
  <conditionalFormatting sqref="A21:A22">
    <cfRule type="duplicateValues" dxfId="19" priority="6"/>
  </conditionalFormatting>
  <conditionalFormatting sqref="A23:A25">
    <cfRule type="duplicateValues" dxfId="18" priority="5"/>
  </conditionalFormatting>
  <conditionalFormatting sqref="A26">
    <cfRule type="duplicateValues" dxfId="17" priority="2"/>
  </conditionalFormatting>
  <conditionalFormatting sqref="A27">
    <cfRule type="duplicateValues" dxfId="16" priority="4"/>
  </conditionalFormatting>
  <conditionalFormatting sqref="A28">
    <cfRule type="duplicateValues" dxfId="15" priority="3"/>
  </conditionalFormatting>
  <conditionalFormatting sqref="A29">
    <cfRule type="duplicateValues" dxfId="14" priority="14"/>
  </conditionalFormatting>
  <conditionalFormatting sqref="A30:A31">
    <cfRule type="duplicateValues" dxfId="13" priority="34"/>
  </conditionalFormatting>
  <conditionalFormatting sqref="A60:A1048576 A1:A16">
    <cfRule type="duplicateValues" dxfId="12" priority="31"/>
  </conditionalFormatting>
  <conditionalFormatting sqref="A60:A1048576 A1:A31">
    <cfRule type="duplicateValues" dxfId="11" priority="1"/>
  </conditionalFormatting>
  <conditionalFormatting sqref="H2:H29">
    <cfRule type="duplicateValues" dxfId="10" priority="27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31E1-B557-4ED6-A929-DC4525E4A475}">
  <dimension ref="A1:H254"/>
  <sheetViews>
    <sheetView tabSelected="1" topLeftCell="A158" zoomScale="115" zoomScaleNormal="115" workbookViewId="0">
      <selection activeCell="A173" sqref="A173"/>
    </sheetView>
  </sheetViews>
  <sheetFormatPr defaultColWidth="13.42578125" defaultRowHeight="15" customHeight="1" x14ac:dyDescent="0.25"/>
  <cols>
    <col min="1" max="1" width="15.140625" style="32" customWidth="1"/>
    <col min="2" max="2" width="12.42578125" style="11" customWidth="1"/>
    <col min="3" max="3" width="10.5703125" style="11" customWidth="1"/>
    <col min="4" max="4" width="8.28515625" style="18" customWidth="1"/>
    <col min="5" max="6" width="11.5703125" style="11" customWidth="1"/>
    <col min="7" max="7" width="16" style="19" customWidth="1"/>
    <col min="8" max="8" width="10.42578125" style="11" customWidth="1"/>
    <col min="9" max="16384" width="13.42578125" style="17"/>
  </cols>
  <sheetData>
    <row r="1" spans="1:8" s="16" customFormat="1" ht="31.5" customHeight="1" x14ac:dyDescent="0.25">
      <c r="A1" s="31" t="s">
        <v>58</v>
      </c>
      <c r="B1" s="12" t="s">
        <v>59</v>
      </c>
      <c r="C1" s="13" t="s">
        <v>23</v>
      </c>
      <c r="D1" s="14" t="s">
        <v>0</v>
      </c>
      <c r="E1" s="13" t="s">
        <v>29</v>
      </c>
      <c r="F1" s="13" t="s">
        <v>30</v>
      </c>
      <c r="G1" s="15" t="s">
        <v>206</v>
      </c>
      <c r="H1" s="13" t="s">
        <v>60</v>
      </c>
    </row>
    <row r="2" spans="1:8" ht="15" customHeight="1" x14ac:dyDescent="0.25">
      <c r="A2" s="82" t="s">
        <v>160</v>
      </c>
      <c r="B2" s="66" t="s">
        <v>71</v>
      </c>
      <c r="C2" s="66">
        <v>1311</v>
      </c>
      <c r="D2" s="85" t="s">
        <v>205</v>
      </c>
      <c r="E2" s="86" t="s">
        <v>693</v>
      </c>
      <c r="F2" s="86" t="s">
        <v>694</v>
      </c>
      <c r="G2" s="87">
        <f>_xlfn.XLOOKUP(B2,Sheet1!A:A,Sheet1!C:C)</f>
        <v>321960</v>
      </c>
      <c r="H2" s="66" t="s">
        <v>61</v>
      </c>
    </row>
    <row r="3" spans="1:8" ht="15" customHeight="1" x14ac:dyDescent="0.25">
      <c r="A3" s="82" t="s">
        <v>277</v>
      </c>
      <c r="B3" s="66" t="s">
        <v>72</v>
      </c>
      <c r="C3" s="66">
        <v>1311</v>
      </c>
      <c r="D3" s="85" t="s">
        <v>205</v>
      </c>
      <c r="E3" s="86" t="s">
        <v>693</v>
      </c>
      <c r="F3" s="86" t="s">
        <v>694</v>
      </c>
      <c r="G3" s="87">
        <f>_xlfn.XLOOKUP(B3,Sheet1!A:A,Sheet1!C:C)</f>
        <v>380160</v>
      </c>
      <c r="H3" s="66" t="s">
        <v>61</v>
      </c>
    </row>
    <row r="4" spans="1:8" ht="15" customHeight="1" x14ac:dyDescent="0.25">
      <c r="A4" s="82" t="s">
        <v>680</v>
      </c>
      <c r="B4" s="66" t="s">
        <v>73</v>
      </c>
      <c r="C4" s="66">
        <v>1311</v>
      </c>
      <c r="D4" s="85" t="s">
        <v>205</v>
      </c>
      <c r="E4" s="86" t="s">
        <v>693</v>
      </c>
      <c r="F4" s="86" t="s">
        <v>694</v>
      </c>
      <c r="G4" s="87">
        <f>_xlfn.XLOOKUP(B4,Sheet1!A:A,Sheet1!C:C)</f>
        <v>337360</v>
      </c>
      <c r="H4" s="66" t="s">
        <v>61</v>
      </c>
    </row>
    <row r="5" spans="1:8" ht="15" customHeight="1" x14ac:dyDescent="0.25">
      <c r="A5" s="82" t="s">
        <v>161</v>
      </c>
      <c r="B5" s="66" t="s">
        <v>74</v>
      </c>
      <c r="C5" s="66">
        <v>1311</v>
      </c>
      <c r="D5" s="85" t="s">
        <v>205</v>
      </c>
      <c r="E5" s="86" t="s">
        <v>693</v>
      </c>
      <c r="F5" s="86" t="s">
        <v>694</v>
      </c>
      <c r="G5" s="87">
        <f>_xlfn.XLOOKUP(B5,Sheet1!A:A,Sheet1!C:C)</f>
        <v>493880</v>
      </c>
      <c r="H5" s="66" t="s">
        <v>61</v>
      </c>
    </row>
    <row r="6" spans="1:8" ht="15" customHeight="1" x14ac:dyDescent="0.25">
      <c r="A6" s="82" t="s">
        <v>162</v>
      </c>
      <c r="B6" s="66" t="s">
        <v>75</v>
      </c>
      <c r="C6" s="66">
        <v>1311</v>
      </c>
      <c r="D6" s="85" t="s">
        <v>205</v>
      </c>
      <c r="E6" s="86" t="s">
        <v>693</v>
      </c>
      <c r="F6" s="86" t="s">
        <v>694</v>
      </c>
      <c r="G6" s="87">
        <f>_xlfn.XLOOKUP(B6,Sheet1!A:A,Sheet1!C:C)</f>
        <v>450120</v>
      </c>
      <c r="H6" s="66" t="s">
        <v>61</v>
      </c>
    </row>
    <row r="7" spans="1:8" ht="15" customHeight="1" x14ac:dyDescent="0.25">
      <c r="A7" s="83" t="s">
        <v>681</v>
      </c>
      <c r="B7" s="88" t="s">
        <v>77</v>
      </c>
      <c r="C7" s="66">
        <v>1311</v>
      </c>
      <c r="D7" s="85" t="s">
        <v>205</v>
      </c>
      <c r="E7" s="86" t="s">
        <v>693</v>
      </c>
      <c r="F7" s="86" t="s">
        <v>694</v>
      </c>
      <c r="G7" s="87">
        <f>_xlfn.XLOOKUP(B7,Sheet1!A:A,Sheet1!C:C)</f>
        <v>398040</v>
      </c>
      <c r="H7" s="66" t="s">
        <v>61</v>
      </c>
    </row>
    <row r="8" spans="1:8" ht="15" customHeight="1" x14ac:dyDescent="0.25">
      <c r="A8" s="71" t="s">
        <v>164</v>
      </c>
      <c r="B8" s="66" t="s">
        <v>78</v>
      </c>
      <c r="C8" s="66">
        <v>1311</v>
      </c>
      <c r="D8" s="85" t="s">
        <v>205</v>
      </c>
      <c r="E8" s="86" t="s">
        <v>693</v>
      </c>
      <c r="F8" s="86" t="s">
        <v>694</v>
      </c>
      <c r="G8" s="87">
        <f>_xlfn.XLOOKUP(B8,Sheet1!A:A,Sheet1!C:C)</f>
        <v>409170</v>
      </c>
      <c r="H8" s="66" t="s">
        <v>61</v>
      </c>
    </row>
    <row r="9" spans="1:8" ht="15" customHeight="1" x14ac:dyDescent="0.25">
      <c r="A9" s="71" t="s">
        <v>165</v>
      </c>
      <c r="B9" s="66" t="s">
        <v>79</v>
      </c>
      <c r="C9" s="66">
        <v>1311</v>
      </c>
      <c r="D9" s="85" t="s">
        <v>205</v>
      </c>
      <c r="E9" s="86" t="s">
        <v>693</v>
      </c>
      <c r="F9" s="86" t="s">
        <v>694</v>
      </c>
      <c r="G9" s="87">
        <f>_xlfn.XLOOKUP(B9,Sheet1!A:A,Sheet1!C:C)</f>
        <v>359410</v>
      </c>
      <c r="H9" s="66" t="s">
        <v>61</v>
      </c>
    </row>
    <row r="10" spans="1:8" ht="15" customHeight="1" x14ac:dyDescent="0.25">
      <c r="A10" s="71" t="s">
        <v>166</v>
      </c>
      <c r="B10" s="66" t="s">
        <v>80</v>
      </c>
      <c r="C10" s="66">
        <v>1311</v>
      </c>
      <c r="D10" s="85" t="s">
        <v>205</v>
      </c>
      <c r="E10" s="86" t="s">
        <v>693</v>
      </c>
      <c r="F10" s="86" t="s">
        <v>694</v>
      </c>
      <c r="G10" s="87">
        <f>_xlfn.XLOOKUP(B10,Sheet1!A:A,Sheet1!C:C)</f>
        <v>336950</v>
      </c>
      <c r="H10" s="66" t="s">
        <v>61</v>
      </c>
    </row>
    <row r="11" spans="1:8" ht="15" customHeight="1" x14ac:dyDescent="0.25">
      <c r="A11" s="71" t="s">
        <v>31</v>
      </c>
      <c r="B11" s="66" t="s">
        <v>695</v>
      </c>
      <c r="C11" s="66">
        <v>1311</v>
      </c>
      <c r="D11" s="85" t="s">
        <v>205</v>
      </c>
      <c r="E11" s="86" t="s">
        <v>693</v>
      </c>
      <c r="F11" s="86" t="s">
        <v>694</v>
      </c>
      <c r="G11" s="87">
        <f>_xlfn.XLOOKUP(B11,Sheet1!A:A,Sheet1!C:C)</f>
        <v>318990</v>
      </c>
      <c r="H11" s="66" t="s">
        <v>61</v>
      </c>
    </row>
    <row r="12" spans="1:8" ht="15" customHeight="1" x14ac:dyDescent="0.25">
      <c r="A12" s="71" t="s">
        <v>168</v>
      </c>
      <c r="B12" s="66" t="s">
        <v>82</v>
      </c>
      <c r="C12" s="66">
        <v>1311</v>
      </c>
      <c r="D12" s="85" t="s">
        <v>205</v>
      </c>
      <c r="E12" s="86" t="s">
        <v>693</v>
      </c>
      <c r="F12" s="86" t="s">
        <v>694</v>
      </c>
      <c r="G12" s="87">
        <f>_xlfn.XLOOKUP(B12,Sheet1!A:A,Sheet1!C:C)</f>
        <v>564490</v>
      </c>
      <c r="H12" s="66" t="s">
        <v>61</v>
      </c>
    </row>
    <row r="13" spans="1:8" ht="15" customHeight="1" x14ac:dyDescent="0.25">
      <c r="A13" s="71" t="s">
        <v>169</v>
      </c>
      <c r="B13" s="88" t="s">
        <v>83</v>
      </c>
      <c r="C13" s="66">
        <v>1311</v>
      </c>
      <c r="D13" s="85" t="s">
        <v>205</v>
      </c>
      <c r="E13" s="86" t="s">
        <v>693</v>
      </c>
      <c r="F13" s="86" t="s">
        <v>694</v>
      </c>
      <c r="G13" s="87">
        <f>_xlfn.XLOOKUP(B13,Sheet1!A:A,Sheet1!C:C)</f>
        <v>623050</v>
      </c>
      <c r="H13" s="66" t="s">
        <v>61</v>
      </c>
    </row>
    <row r="14" spans="1:8" ht="15" customHeight="1" x14ac:dyDescent="0.25">
      <c r="A14" s="71" t="s">
        <v>278</v>
      </c>
      <c r="B14" s="88" t="s">
        <v>84</v>
      </c>
      <c r="C14" s="66">
        <v>1311</v>
      </c>
      <c r="D14" s="85" t="s">
        <v>205</v>
      </c>
      <c r="E14" s="86" t="s">
        <v>693</v>
      </c>
      <c r="F14" s="86" t="s">
        <v>694</v>
      </c>
      <c r="G14" s="87">
        <f>_xlfn.XLOOKUP(B14,Sheet1!A:A,Sheet1!C:C)</f>
        <v>521940</v>
      </c>
      <c r="H14" s="66" t="s">
        <v>61</v>
      </c>
    </row>
    <row r="15" spans="1:8" ht="15" customHeight="1" x14ac:dyDescent="0.25">
      <c r="A15" s="71" t="s">
        <v>31</v>
      </c>
      <c r="B15" s="88" t="s">
        <v>85</v>
      </c>
      <c r="C15" s="66">
        <v>1311</v>
      </c>
      <c r="D15" s="85" t="s">
        <v>205</v>
      </c>
      <c r="E15" s="86" t="s">
        <v>693</v>
      </c>
      <c r="F15" s="86" t="s">
        <v>694</v>
      </c>
      <c r="G15" s="87">
        <f>_xlfn.XLOOKUP(B15,Sheet1!A:A,Sheet1!C:C)</f>
        <v>444770</v>
      </c>
      <c r="H15" s="66" t="s">
        <v>61</v>
      </c>
    </row>
    <row r="16" spans="1:8" ht="15" customHeight="1" x14ac:dyDescent="0.25">
      <c r="A16" s="71" t="s">
        <v>31</v>
      </c>
      <c r="B16" s="88" t="s">
        <v>86</v>
      </c>
      <c r="C16" s="66">
        <v>1311</v>
      </c>
      <c r="D16" s="85" t="s">
        <v>205</v>
      </c>
      <c r="E16" s="86" t="s">
        <v>693</v>
      </c>
      <c r="F16" s="86" t="s">
        <v>694</v>
      </c>
      <c r="G16" s="87">
        <f>_xlfn.XLOOKUP(B16,Sheet1!A:A,Sheet1!C:C)</f>
        <v>548740</v>
      </c>
      <c r="H16" s="66" t="s">
        <v>61</v>
      </c>
    </row>
    <row r="17" spans="1:8" ht="15" customHeight="1" x14ac:dyDescent="0.25">
      <c r="A17" s="71" t="s">
        <v>280</v>
      </c>
      <c r="B17" s="88" t="s">
        <v>64</v>
      </c>
      <c r="C17" s="66">
        <v>1310</v>
      </c>
      <c r="D17" s="85" t="s">
        <v>205</v>
      </c>
      <c r="E17" s="86" t="s">
        <v>693</v>
      </c>
      <c r="F17" s="86" t="s">
        <v>694</v>
      </c>
      <c r="G17" s="87">
        <f>_xlfn.XLOOKUP(B17,Sheet1!A:A,Sheet1!C:C)</f>
        <v>397640</v>
      </c>
      <c r="H17" s="66" t="s">
        <v>61</v>
      </c>
    </row>
    <row r="18" spans="1:8" ht="15" customHeight="1" x14ac:dyDescent="0.25">
      <c r="A18" s="71" t="s">
        <v>156</v>
      </c>
      <c r="B18" s="88" t="s">
        <v>65</v>
      </c>
      <c r="C18" s="66">
        <v>1310</v>
      </c>
      <c r="D18" s="85" t="s">
        <v>205</v>
      </c>
      <c r="E18" s="86" t="s">
        <v>693</v>
      </c>
      <c r="F18" s="86" t="s">
        <v>694</v>
      </c>
      <c r="G18" s="87">
        <f>_xlfn.XLOOKUP(B18,Sheet1!A:A,Sheet1!C:C)</f>
        <v>521300</v>
      </c>
      <c r="H18" s="66" t="s">
        <v>61</v>
      </c>
    </row>
    <row r="19" spans="1:8" ht="15" customHeight="1" x14ac:dyDescent="0.25">
      <c r="A19" s="71" t="s">
        <v>281</v>
      </c>
      <c r="B19" s="88" t="s">
        <v>66</v>
      </c>
      <c r="C19" s="66">
        <v>1310</v>
      </c>
      <c r="D19" s="85" t="s">
        <v>205</v>
      </c>
      <c r="E19" s="86" t="s">
        <v>693</v>
      </c>
      <c r="F19" s="86" t="s">
        <v>694</v>
      </c>
      <c r="G19" s="87">
        <f>_xlfn.XLOOKUP(B19,Sheet1!A:A,Sheet1!C:C)</f>
        <v>471360</v>
      </c>
      <c r="H19" s="66" t="s">
        <v>61</v>
      </c>
    </row>
    <row r="20" spans="1:8" ht="15" customHeight="1" x14ac:dyDescent="0.25">
      <c r="A20" s="71" t="s">
        <v>157</v>
      </c>
      <c r="B20" s="88" t="s">
        <v>67</v>
      </c>
      <c r="C20" s="66">
        <v>1310</v>
      </c>
      <c r="D20" s="85" t="s">
        <v>205</v>
      </c>
      <c r="E20" s="86" t="s">
        <v>693</v>
      </c>
      <c r="F20" s="86" t="s">
        <v>694</v>
      </c>
      <c r="G20" s="87">
        <f>_xlfn.XLOOKUP(B20,Sheet1!A:A,Sheet1!C:C)</f>
        <v>338000</v>
      </c>
      <c r="H20" s="66" t="s">
        <v>61</v>
      </c>
    </row>
    <row r="21" spans="1:8" ht="15" customHeight="1" x14ac:dyDescent="0.25">
      <c r="A21" s="71" t="s">
        <v>158</v>
      </c>
      <c r="B21" s="88" t="s">
        <v>68</v>
      </c>
      <c r="C21" s="66">
        <v>1310</v>
      </c>
      <c r="D21" s="85" t="s">
        <v>205</v>
      </c>
      <c r="E21" s="86" t="s">
        <v>693</v>
      </c>
      <c r="F21" s="86" t="s">
        <v>694</v>
      </c>
      <c r="G21" s="87">
        <f>_xlfn.XLOOKUP(B21,Sheet1!A:A,Sheet1!C:C)</f>
        <v>357750</v>
      </c>
      <c r="H21" s="66" t="s">
        <v>61</v>
      </c>
    </row>
    <row r="22" spans="1:8" ht="15" customHeight="1" x14ac:dyDescent="0.25">
      <c r="A22" s="71" t="s">
        <v>282</v>
      </c>
      <c r="B22" s="88" t="s">
        <v>69</v>
      </c>
      <c r="C22" s="66">
        <v>1310</v>
      </c>
      <c r="D22" s="85" t="s">
        <v>205</v>
      </c>
      <c r="E22" s="86" t="s">
        <v>693</v>
      </c>
      <c r="F22" s="86" t="s">
        <v>694</v>
      </c>
      <c r="G22" s="87">
        <f>_xlfn.XLOOKUP(B22,Sheet1!A:A,Sheet1!C:C)</f>
        <v>654330</v>
      </c>
      <c r="H22" s="66" t="s">
        <v>61</v>
      </c>
    </row>
    <row r="23" spans="1:8" ht="15" customHeight="1" x14ac:dyDescent="0.25">
      <c r="A23" s="71" t="s">
        <v>171</v>
      </c>
      <c r="B23" s="89" t="s">
        <v>142</v>
      </c>
      <c r="C23" s="66">
        <v>1311</v>
      </c>
      <c r="D23" s="85" t="s">
        <v>205</v>
      </c>
      <c r="E23" s="86" t="s">
        <v>693</v>
      </c>
      <c r="F23" s="86" t="s">
        <v>694</v>
      </c>
      <c r="G23" s="87">
        <f>_xlfn.XLOOKUP(B23,Sheet1!A:A,Sheet1!C:C)</f>
        <v>508610</v>
      </c>
      <c r="H23" s="66" t="s">
        <v>61</v>
      </c>
    </row>
    <row r="24" spans="1:8" ht="15" customHeight="1" x14ac:dyDescent="0.25">
      <c r="A24" s="71" t="s">
        <v>279</v>
      </c>
      <c r="B24" s="89" t="s">
        <v>696</v>
      </c>
      <c r="C24" s="66">
        <v>1311</v>
      </c>
      <c r="D24" s="85" t="s">
        <v>205</v>
      </c>
      <c r="E24" s="86" t="s">
        <v>693</v>
      </c>
      <c r="F24" s="86" t="s">
        <v>694</v>
      </c>
      <c r="G24" s="87">
        <f>_xlfn.XLOOKUP(B24,Sheet1!A:A,Sheet1!C:C)</f>
        <v>464810</v>
      </c>
      <c r="H24" s="66" t="s">
        <v>61</v>
      </c>
    </row>
    <row r="25" spans="1:8" ht="15" customHeight="1" x14ac:dyDescent="0.25">
      <c r="A25" s="71" t="s">
        <v>170</v>
      </c>
      <c r="B25" s="89" t="s">
        <v>697</v>
      </c>
      <c r="C25" s="66">
        <v>1311</v>
      </c>
      <c r="D25" s="85" t="s">
        <v>205</v>
      </c>
      <c r="E25" s="86" t="s">
        <v>693</v>
      </c>
      <c r="F25" s="86" t="s">
        <v>694</v>
      </c>
      <c r="G25" s="87">
        <f>_xlfn.XLOOKUP(B25,Sheet1!A:A,Sheet1!C:C)</f>
        <v>440680</v>
      </c>
      <c r="H25" s="66" t="s">
        <v>61</v>
      </c>
    </row>
    <row r="26" spans="1:8" ht="15" customHeight="1" x14ac:dyDescent="0.25">
      <c r="A26" s="71" t="s">
        <v>172</v>
      </c>
      <c r="B26" s="89" t="s">
        <v>698</v>
      </c>
      <c r="C26" s="66">
        <v>1311</v>
      </c>
      <c r="D26" s="85" t="s">
        <v>205</v>
      </c>
      <c r="E26" s="86" t="s">
        <v>693</v>
      </c>
      <c r="F26" s="86" t="s">
        <v>694</v>
      </c>
      <c r="G26" s="87">
        <f>_xlfn.XLOOKUP(B26,Sheet1!A:A,Sheet1!C:C)</f>
        <v>578060</v>
      </c>
      <c r="H26" s="66" t="s">
        <v>61</v>
      </c>
    </row>
    <row r="27" spans="1:8" ht="15" customHeight="1" x14ac:dyDescent="0.25">
      <c r="A27" s="71" t="s">
        <v>174</v>
      </c>
      <c r="B27" s="88" t="s">
        <v>88</v>
      </c>
      <c r="C27" s="66">
        <v>1334</v>
      </c>
      <c r="D27" s="85" t="s">
        <v>205</v>
      </c>
      <c r="E27" s="86" t="s">
        <v>693</v>
      </c>
      <c r="F27" s="86" t="s">
        <v>694</v>
      </c>
      <c r="G27" s="87">
        <f>_xlfn.XLOOKUP(B27,Sheet1!A:A,Sheet1!C:C)</f>
        <v>400150</v>
      </c>
      <c r="H27" s="66" t="s">
        <v>61</v>
      </c>
    </row>
    <row r="28" spans="1:8" ht="15" customHeight="1" x14ac:dyDescent="0.25">
      <c r="A28" s="71" t="s">
        <v>175</v>
      </c>
      <c r="B28" s="66" t="s">
        <v>89</v>
      </c>
      <c r="C28" s="66">
        <v>1334</v>
      </c>
      <c r="D28" s="85" t="s">
        <v>205</v>
      </c>
      <c r="E28" s="86" t="s">
        <v>693</v>
      </c>
      <c r="F28" s="86" t="s">
        <v>694</v>
      </c>
      <c r="G28" s="87">
        <f>_xlfn.XLOOKUP(B28,Sheet1!A:A,Sheet1!C:C)</f>
        <v>648730</v>
      </c>
      <c r="H28" s="66" t="s">
        <v>61</v>
      </c>
    </row>
    <row r="29" spans="1:8" ht="15" customHeight="1" x14ac:dyDescent="0.25">
      <c r="A29" s="71" t="s">
        <v>283</v>
      </c>
      <c r="B29" s="66" t="s">
        <v>90</v>
      </c>
      <c r="C29" s="66">
        <v>1334</v>
      </c>
      <c r="D29" s="85" t="s">
        <v>205</v>
      </c>
      <c r="E29" s="86" t="s">
        <v>693</v>
      </c>
      <c r="F29" s="86" t="s">
        <v>694</v>
      </c>
      <c r="G29" s="87">
        <f>_xlfn.XLOOKUP(B29,Sheet1!A:A,Sheet1!C:C)</f>
        <v>367740</v>
      </c>
      <c r="H29" s="66" t="s">
        <v>61</v>
      </c>
    </row>
    <row r="30" spans="1:8" ht="15" customHeight="1" x14ac:dyDescent="0.25">
      <c r="A30" s="71" t="s">
        <v>284</v>
      </c>
      <c r="B30" s="88" t="s">
        <v>91</v>
      </c>
      <c r="C30" s="66">
        <v>1334</v>
      </c>
      <c r="D30" s="85" t="s">
        <v>205</v>
      </c>
      <c r="E30" s="86" t="s">
        <v>693</v>
      </c>
      <c r="F30" s="86" t="s">
        <v>694</v>
      </c>
      <c r="G30" s="87">
        <f>_xlfn.XLOOKUP(B30,Sheet1!A:A,Sheet1!C:C)</f>
        <v>571770</v>
      </c>
      <c r="H30" s="66" t="s">
        <v>61</v>
      </c>
    </row>
    <row r="31" spans="1:8" ht="15" customHeight="1" x14ac:dyDescent="0.25">
      <c r="A31" s="71" t="s">
        <v>31</v>
      </c>
      <c r="B31" s="88" t="s">
        <v>699</v>
      </c>
      <c r="C31" s="66">
        <v>1334</v>
      </c>
      <c r="D31" s="85" t="s">
        <v>205</v>
      </c>
      <c r="E31" s="86" t="s">
        <v>693</v>
      </c>
      <c r="F31" s="86" t="s">
        <v>694</v>
      </c>
      <c r="G31" s="87">
        <f>_xlfn.XLOOKUP(B31,Sheet1!A:A,Sheet1!C:C)</f>
        <v>379800</v>
      </c>
      <c r="H31" s="66" t="s">
        <v>61</v>
      </c>
    </row>
    <row r="32" spans="1:8" ht="15" customHeight="1" x14ac:dyDescent="0.25">
      <c r="A32" s="71" t="s">
        <v>176</v>
      </c>
      <c r="B32" s="88" t="s">
        <v>93</v>
      </c>
      <c r="C32" s="66">
        <v>1314</v>
      </c>
      <c r="D32" s="85" t="s">
        <v>205</v>
      </c>
      <c r="E32" s="86" t="s">
        <v>693</v>
      </c>
      <c r="F32" s="86" t="s">
        <v>694</v>
      </c>
      <c r="G32" s="87">
        <f>_xlfn.XLOOKUP(B32,Sheet1!A:A,Sheet1!C:C)</f>
        <v>483230</v>
      </c>
      <c r="H32" s="66" t="s">
        <v>61</v>
      </c>
    </row>
    <row r="33" spans="1:8" ht="15" customHeight="1" x14ac:dyDescent="0.25">
      <c r="A33" s="71" t="s">
        <v>183</v>
      </c>
      <c r="B33" s="88" t="s">
        <v>94</v>
      </c>
      <c r="C33" s="66">
        <v>1314</v>
      </c>
      <c r="D33" s="85" t="s">
        <v>205</v>
      </c>
      <c r="E33" s="86" t="s">
        <v>693</v>
      </c>
      <c r="F33" s="86" t="s">
        <v>694</v>
      </c>
      <c r="G33" s="87">
        <f>_xlfn.XLOOKUP(B33,Sheet1!A:A,Sheet1!C:C)</f>
        <v>553240</v>
      </c>
      <c r="H33" s="66" t="s">
        <v>61</v>
      </c>
    </row>
    <row r="34" spans="1:8" ht="15" customHeight="1" x14ac:dyDescent="0.25">
      <c r="A34" s="71" t="s">
        <v>177</v>
      </c>
      <c r="B34" s="88" t="s">
        <v>95</v>
      </c>
      <c r="C34" s="66">
        <v>1314</v>
      </c>
      <c r="D34" s="85" t="s">
        <v>205</v>
      </c>
      <c r="E34" s="86" t="s">
        <v>693</v>
      </c>
      <c r="F34" s="86" t="s">
        <v>694</v>
      </c>
      <c r="G34" s="87">
        <f>_xlfn.XLOOKUP(B34,Sheet1!A:A,Sheet1!C:C)</f>
        <v>314210</v>
      </c>
      <c r="H34" s="66" t="s">
        <v>61</v>
      </c>
    </row>
    <row r="35" spans="1:8" ht="15" customHeight="1" x14ac:dyDescent="0.25">
      <c r="A35" s="71" t="s">
        <v>462</v>
      </c>
      <c r="B35" s="88" t="s">
        <v>96</v>
      </c>
      <c r="C35" s="66">
        <v>1314</v>
      </c>
      <c r="D35" s="85" t="s">
        <v>205</v>
      </c>
      <c r="E35" s="86" t="s">
        <v>693</v>
      </c>
      <c r="F35" s="86" t="s">
        <v>694</v>
      </c>
      <c r="G35" s="87">
        <f>_xlfn.XLOOKUP(B35,Sheet1!A:A,Sheet1!C:C)</f>
        <v>505860</v>
      </c>
      <c r="H35" s="66" t="s">
        <v>61</v>
      </c>
    </row>
    <row r="36" spans="1:8" ht="15" customHeight="1" x14ac:dyDescent="0.25">
      <c r="A36" s="71" t="s">
        <v>285</v>
      </c>
      <c r="B36" s="88" t="s">
        <v>97</v>
      </c>
      <c r="C36" s="66">
        <v>1314</v>
      </c>
      <c r="D36" s="85" t="s">
        <v>205</v>
      </c>
      <c r="E36" s="86" t="s">
        <v>693</v>
      </c>
      <c r="F36" s="86" t="s">
        <v>694</v>
      </c>
      <c r="G36" s="87">
        <f>_xlfn.XLOOKUP(B36,Sheet1!A:A,Sheet1!C:C)</f>
        <v>360630</v>
      </c>
      <c r="H36" s="66" t="s">
        <v>61</v>
      </c>
    </row>
    <row r="37" spans="1:8" ht="15" customHeight="1" x14ac:dyDescent="0.25">
      <c r="A37" s="71" t="s">
        <v>178</v>
      </c>
      <c r="B37" s="88" t="s">
        <v>99</v>
      </c>
      <c r="C37" s="66">
        <v>1314</v>
      </c>
      <c r="D37" s="85" t="s">
        <v>205</v>
      </c>
      <c r="E37" s="86" t="s">
        <v>693</v>
      </c>
      <c r="F37" s="86" t="s">
        <v>694</v>
      </c>
      <c r="G37" s="87">
        <f>_xlfn.XLOOKUP(B37,Sheet1!A:A,Sheet1!C:C)</f>
        <v>510300</v>
      </c>
      <c r="H37" s="66" t="s">
        <v>61</v>
      </c>
    </row>
    <row r="38" spans="1:8" ht="15" customHeight="1" x14ac:dyDescent="0.25">
      <c r="A38" s="71" t="s">
        <v>286</v>
      </c>
      <c r="B38" s="66" t="s">
        <v>100</v>
      </c>
      <c r="C38" s="66">
        <v>1314</v>
      </c>
      <c r="D38" s="85" t="s">
        <v>205</v>
      </c>
      <c r="E38" s="86" t="s">
        <v>693</v>
      </c>
      <c r="F38" s="86" t="s">
        <v>694</v>
      </c>
      <c r="G38" s="87">
        <f>_xlfn.XLOOKUP(B38,Sheet1!A:A,Sheet1!C:C)</f>
        <v>417100</v>
      </c>
      <c r="H38" s="66" t="s">
        <v>61</v>
      </c>
    </row>
    <row r="39" spans="1:8" ht="15" customHeight="1" x14ac:dyDescent="0.25">
      <c r="A39" s="71" t="s">
        <v>287</v>
      </c>
      <c r="B39" s="66" t="s">
        <v>101</v>
      </c>
      <c r="C39" s="66">
        <v>1314</v>
      </c>
      <c r="D39" s="85" t="s">
        <v>205</v>
      </c>
      <c r="E39" s="86" t="s">
        <v>693</v>
      </c>
      <c r="F39" s="86" t="s">
        <v>694</v>
      </c>
      <c r="G39" s="87">
        <f>_xlfn.XLOOKUP(B39,Sheet1!A:A,Sheet1!C:C)</f>
        <v>357030</v>
      </c>
      <c r="H39" s="66" t="s">
        <v>61</v>
      </c>
    </row>
    <row r="40" spans="1:8" ht="15" customHeight="1" x14ac:dyDescent="0.25">
      <c r="A40" s="71" t="s">
        <v>288</v>
      </c>
      <c r="B40" s="66" t="s">
        <v>102</v>
      </c>
      <c r="C40" s="66">
        <v>1314</v>
      </c>
      <c r="D40" s="85" t="s">
        <v>205</v>
      </c>
      <c r="E40" s="86" t="s">
        <v>693</v>
      </c>
      <c r="F40" s="86" t="s">
        <v>694</v>
      </c>
      <c r="G40" s="87">
        <f>_xlfn.XLOOKUP(B40,Sheet1!A:A,Sheet1!C:C)</f>
        <v>337980</v>
      </c>
      <c r="H40" s="66" t="s">
        <v>61</v>
      </c>
    </row>
    <row r="41" spans="1:8" ht="15" customHeight="1" x14ac:dyDescent="0.25">
      <c r="A41" s="71" t="s">
        <v>179</v>
      </c>
      <c r="B41" s="88" t="s">
        <v>104</v>
      </c>
      <c r="C41" s="66">
        <v>1329</v>
      </c>
      <c r="D41" s="85" t="s">
        <v>205</v>
      </c>
      <c r="E41" s="86" t="s">
        <v>693</v>
      </c>
      <c r="F41" s="86" t="s">
        <v>694</v>
      </c>
      <c r="G41" s="87">
        <f>_xlfn.XLOOKUP(B41,Sheet1!A:A,Sheet1!C:C)</f>
        <v>530070</v>
      </c>
      <c r="H41" s="66" t="s">
        <v>61</v>
      </c>
    </row>
    <row r="42" spans="1:8" ht="15" customHeight="1" x14ac:dyDescent="0.25">
      <c r="A42" s="71" t="s">
        <v>180</v>
      </c>
      <c r="B42" s="88" t="s">
        <v>105</v>
      </c>
      <c r="C42" s="66">
        <v>1329</v>
      </c>
      <c r="D42" s="85" t="s">
        <v>205</v>
      </c>
      <c r="E42" s="86" t="s">
        <v>693</v>
      </c>
      <c r="F42" s="86" t="s">
        <v>694</v>
      </c>
      <c r="G42" s="87">
        <f>_xlfn.XLOOKUP(B42,Sheet1!A:A,Sheet1!C:C)</f>
        <v>365960</v>
      </c>
      <c r="H42" s="66" t="s">
        <v>61</v>
      </c>
    </row>
    <row r="43" spans="1:8" ht="15" customHeight="1" x14ac:dyDescent="0.25">
      <c r="A43" s="71" t="s">
        <v>289</v>
      </c>
      <c r="B43" s="66" t="s">
        <v>106</v>
      </c>
      <c r="C43" s="66">
        <v>1329</v>
      </c>
      <c r="D43" s="85" t="s">
        <v>205</v>
      </c>
      <c r="E43" s="86" t="s">
        <v>693</v>
      </c>
      <c r="F43" s="86" t="s">
        <v>694</v>
      </c>
      <c r="G43" s="87">
        <f>_xlfn.XLOOKUP(B43,Sheet1!A:A,Sheet1!C:C)</f>
        <v>542400</v>
      </c>
      <c r="H43" s="66" t="s">
        <v>61</v>
      </c>
    </row>
    <row r="44" spans="1:8" ht="15" customHeight="1" x14ac:dyDescent="0.25">
      <c r="A44" s="71" t="s">
        <v>290</v>
      </c>
      <c r="B44" s="66" t="s">
        <v>107</v>
      </c>
      <c r="C44" s="66">
        <v>1329</v>
      </c>
      <c r="D44" s="85" t="s">
        <v>205</v>
      </c>
      <c r="E44" s="86" t="s">
        <v>693</v>
      </c>
      <c r="F44" s="86" t="s">
        <v>694</v>
      </c>
      <c r="G44" s="87">
        <f>_xlfn.XLOOKUP(B44,Sheet1!A:A,Sheet1!C:C)</f>
        <v>690370</v>
      </c>
      <c r="H44" s="66" t="s">
        <v>61</v>
      </c>
    </row>
    <row r="45" spans="1:8" ht="15" customHeight="1" x14ac:dyDescent="0.25">
      <c r="A45" s="71" t="s">
        <v>459</v>
      </c>
      <c r="B45" s="66" t="s">
        <v>108</v>
      </c>
      <c r="C45" s="66">
        <v>1329</v>
      </c>
      <c r="D45" s="85" t="s">
        <v>205</v>
      </c>
      <c r="E45" s="86" t="s">
        <v>693</v>
      </c>
      <c r="F45" s="86" t="s">
        <v>694</v>
      </c>
      <c r="G45" s="87">
        <f>_xlfn.XLOOKUP(B45,Sheet1!A:A,Sheet1!C:C)</f>
        <v>365320</v>
      </c>
      <c r="H45" s="66" t="s">
        <v>61</v>
      </c>
    </row>
    <row r="46" spans="1:8" ht="15" customHeight="1" x14ac:dyDescent="0.25">
      <c r="A46" s="71" t="s">
        <v>181</v>
      </c>
      <c r="B46" s="66" t="s">
        <v>110</v>
      </c>
      <c r="C46" s="66">
        <v>1312</v>
      </c>
      <c r="D46" s="85" t="s">
        <v>205</v>
      </c>
      <c r="E46" s="86" t="s">
        <v>693</v>
      </c>
      <c r="F46" s="86" t="s">
        <v>694</v>
      </c>
      <c r="G46" s="87">
        <f>_xlfn.XLOOKUP(B46,Sheet1!A:A,Sheet1!C:C)</f>
        <v>274760</v>
      </c>
      <c r="H46" s="66" t="s">
        <v>61</v>
      </c>
    </row>
    <row r="47" spans="1:8" ht="15" customHeight="1" x14ac:dyDescent="0.25">
      <c r="A47" s="71" t="s">
        <v>182</v>
      </c>
      <c r="B47" s="88" t="s">
        <v>111</v>
      </c>
      <c r="C47" s="66">
        <v>1312</v>
      </c>
      <c r="D47" s="85" t="s">
        <v>205</v>
      </c>
      <c r="E47" s="86" t="s">
        <v>693</v>
      </c>
      <c r="F47" s="86" t="s">
        <v>694</v>
      </c>
      <c r="G47" s="87">
        <f>_xlfn.XLOOKUP(B47,Sheet1!A:A,Sheet1!C:C)</f>
        <v>618000</v>
      </c>
      <c r="H47" s="66" t="s">
        <v>61</v>
      </c>
    </row>
    <row r="48" spans="1:8" ht="15" customHeight="1" x14ac:dyDescent="0.25">
      <c r="A48" s="71" t="s">
        <v>682</v>
      </c>
      <c r="B48" s="88" t="s">
        <v>112</v>
      </c>
      <c r="C48" s="66">
        <v>1312</v>
      </c>
      <c r="D48" s="85" t="s">
        <v>205</v>
      </c>
      <c r="E48" s="86" t="s">
        <v>693</v>
      </c>
      <c r="F48" s="86" t="s">
        <v>694</v>
      </c>
      <c r="G48" s="87">
        <f>_xlfn.XLOOKUP(B48,Sheet1!A:A,Sheet1!C:C)</f>
        <v>568900</v>
      </c>
      <c r="H48" s="66" t="s">
        <v>61</v>
      </c>
    </row>
    <row r="49" spans="1:8" ht="15" customHeight="1" x14ac:dyDescent="0.25">
      <c r="A49" s="71" t="s">
        <v>291</v>
      </c>
      <c r="B49" s="88" t="s">
        <v>113</v>
      </c>
      <c r="C49" s="66">
        <v>1312</v>
      </c>
      <c r="D49" s="85" t="s">
        <v>205</v>
      </c>
      <c r="E49" s="86" t="s">
        <v>693</v>
      </c>
      <c r="F49" s="86" t="s">
        <v>694</v>
      </c>
      <c r="G49" s="87">
        <f>_xlfn.XLOOKUP(B49,Sheet1!A:A,Sheet1!C:C)</f>
        <v>518280</v>
      </c>
      <c r="H49" s="66" t="s">
        <v>61</v>
      </c>
    </row>
    <row r="50" spans="1:8" ht="15" customHeight="1" x14ac:dyDescent="0.25">
      <c r="A50" s="71" t="s">
        <v>292</v>
      </c>
      <c r="B50" s="88" t="s">
        <v>114</v>
      </c>
      <c r="C50" s="66">
        <v>1312</v>
      </c>
      <c r="D50" s="85" t="s">
        <v>205</v>
      </c>
      <c r="E50" s="86" t="s">
        <v>693</v>
      </c>
      <c r="F50" s="86" t="s">
        <v>694</v>
      </c>
      <c r="G50" s="87">
        <f>_xlfn.XLOOKUP(B50,Sheet1!A:A,Sheet1!C:C)</f>
        <v>411060</v>
      </c>
      <c r="H50" s="66" t="s">
        <v>61</v>
      </c>
    </row>
    <row r="51" spans="1:8" ht="15" customHeight="1" x14ac:dyDescent="0.25">
      <c r="A51" s="71" t="s">
        <v>293</v>
      </c>
      <c r="B51" s="88" t="s">
        <v>116</v>
      </c>
      <c r="C51" s="66">
        <v>1312</v>
      </c>
      <c r="D51" s="85" t="s">
        <v>205</v>
      </c>
      <c r="E51" s="86" t="s">
        <v>693</v>
      </c>
      <c r="F51" s="86" t="s">
        <v>694</v>
      </c>
      <c r="G51" s="87">
        <f>_xlfn.XLOOKUP(B51,Sheet1!A:A,Sheet1!C:C)</f>
        <v>678550</v>
      </c>
      <c r="H51" s="66" t="s">
        <v>61</v>
      </c>
    </row>
    <row r="52" spans="1:8" ht="15" customHeight="1" x14ac:dyDescent="0.25">
      <c r="A52" s="71" t="s">
        <v>184</v>
      </c>
      <c r="B52" s="88" t="s">
        <v>117</v>
      </c>
      <c r="C52" s="66">
        <v>1312</v>
      </c>
      <c r="D52" s="85" t="s">
        <v>205</v>
      </c>
      <c r="E52" s="86" t="s">
        <v>693</v>
      </c>
      <c r="F52" s="86" t="s">
        <v>694</v>
      </c>
      <c r="G52" s="87">
        <f>_xlfn.XLOOKUP(B52,Sheet1!A:A,Sheet1!C:C)</f>
        <v>452370</v>
      </c>
      <c r="H52" s="66" t="s">
        <v>61</v>
      </c>
    </row>
    <row r="53" spans="1:8" ht="15" customHeight="1" x14ac:dyDescent="0.25">
      <c r="A53" s="71" t="s">
        <v>294</v>
      </c>
      <c r="B53" s="88" t="s">
        <v>118</v>
      </c>
      <c r="C53" s="66">
        <v>1312</v>
      </c>
      <c r="D53" s="85" t="s">
        <v>205</v>
      </c>
      <c r="E53" s="86" t="s">
        <v>693</v>
      </c>
      <c r="F53" s="86" t="s">
        <v>694</v>
      </c>
      <c r="G53" s="87">
        <f>_xlfn.XLOOKUP(B53,Sheet1!A:A,Sheet1!C:C)</f>
        <v>392730</v>
      </c>
      <c r="H53" s="66" t="s">
        <v>61</v>
      </c>
    </row>
    <row r="54" spans="1:8" ht="15" customHeight="1" x14ac:dyDescent="0.25">
      <c r="A54" s="71" t="s">
        <v>185</v>
      </c>
      <c r="B54" s="88" t="s">
        <v>119</v>
      </c>
      <c r="C54" s="66">
        <v>1312</v>
      </c>
      <c r="D54" s="85" t="s">
        <v>205</v>
      </c>
      <c r="E54" s="86" t="s">
        <v>693</v>
      </c>
      <c r="F54" s="86" t="s">
        <v>694</v>
      </c>
      <c r="G54" s="87">
        <f>_xlfn.XLOOKUP(B54,Sheet1!A:A,Sheet1!C:C)</f>
        <v>553200</v>
      </c>
      <c r="H54" s="66" t="s">
        <v>61</v>
      </c>
    </row>
    <row r="55" spans="1:8" ht="15" customHeight="1" x14ac:dyDescent="0.25">
      <c r="A55" s="71" t="s">
        <v>31</v>
      </c>
      <c r="B55" s="88" t="s">
        <v>700</v>
      </c>
      <c r="C55" s="66">
        <v>1312</v>
      </c>
      <c r="D55" s="85" t="s">
        <v>205</v>
      </c>
      <c r="E55" s="86" t="s">
        <v>693</v>
      </c>
      <c r="F55" s="86" t="s">
        <v>694</v>
      </c>
      <c r="G55" s="87">
        <f>_xlfn.XLOOKUP(B55,Sheet1!A:A,Sheet1!C:C)</f>
        <v>510900</v>
      </c>
      <c r="H55" s="66" t="s">
        <v>61</v>
      </c>
    </row>
    <row r="56" spans="1:8" ht="15" customHeight="1" x14ac:dyDescent="0.25">
      <c r="A56" s="71" t="s">
        <v>186</v>
      </c>
      <c r="B56" s="88" t="s">
        <v>121</v>
      </c>
      <c r="C56" s="66">
        <v>1336</v>
      </c>
      <c r="D56" s="85" t="s">
        <v>205</v>
      </c>
      <c r="E56" s="86" t="s">
        <v>693</v>
      </c>
      <c r="F56" s="86" t="s">
        <v>694</v>
      </c>
      <c r="G56" s="87">
        <f>_xlfn.XLOOKUP(B56,Sheet1!A:A,Sheet1!C:C)</f>
        <v>710560</v>
      </c>
      <c r="H56" s="66" t="s">
        <v>61</v>
      </c>
    </row>
    <row r="57" spans="1:8" ht="15" customHeight="1" x14ac:dyDescent="0.25">
      <c r="A57" s="71" t="s">
        <v>187</v>
      </c>
      <c r="B57" s="88" t="s">
        <v>122</v>
      </c>
      <c r="C57" s="66">
        <v>1336</v>
      </c>
      <c r="D57" s="85" t="s">
        <v>205</v>
      </c>
      <c r="E57" s="86" t="s">
        <v>693</v>
      </c>
      <c r="F57" s="86" t="s">
        <v>694</v>
      </c>
      <c r="G57" s="87">
        <f>_xlfn.XLOOKUP(B57,Sheet1!A:A,Sheet1!C:C)</f>
        <v>432080</v>
      </c>
      <c r="H57" s="66" t="s">
        <v>61</v>
      </c>
    </row>
    <row r="58" spans="1:8" ht="15" customHeight="1" x14ac:dyDescent="0.25">
      <c r="A58" s="71" t="s">
        <v>295</v>
      </c>
      <c r="B58" s="88" t="s">
        <v>123</v>
      </c>
      <c r="C58" s="66">
        <v>1336</v>
      </c>
      <c r="D58" s="85" t="s">
        <v>205</v>
      </c>
      <c r="E58" s="86" t="s">
        <v>693</v>
      </c>
      <c r="F58" s="86" t="s">
        <v>694</v>
      </c>
      <c r="G58" s="87">
        <f>_xlfn.XLOOKUP(B58,Sheet1!A:A,Sheet1!C:C)</f>
        <v>503330</v>
      </c>
      <c r="H58" s="66" t="s">
        <v>61</v>
      </c>
    </row>
    <row r="59" spans="1:8" ht="15" customHeight="1" x14ac:dyDescent="0.25">
      <c r="A59" s="71" t="s">
        <v>457</v>
      </c>
      <c r="B59" s="66" t="s">
        <v>124</v>
      </c>
      <c r="C59" s="66">
        <v>1336</v>
      </c>
      <c r="D59" s="85" t="s">
        <v>205</v>
      </c>
      <c r="E59" s="86" t="s">
        <v>693</v>
      </c>
      <c r="F59" s="86" t="s">
        <v>694</v>
      </c>
      <c r="G59" s="87">
        <f>_xlfn.XLOOKUP(B59,Sheet1!A:A,Sheet1!C:C)</f>
        <v>547870</v>
      </c>
      <c r="H59" s="66" t="s">
        <v>61</v>
      </c>
    </row>
    <row r="60" spans="1:8" ht="15" customHeight="1" x14ac:dyDescent="0.25">
      <c r="A60" s="71" t="s">
        <v>296</v>
      </c>
      <c r="B60" s="66" t="s">
        <v>125</v>
      </c>
      <c r="C60" s="66">
        <v>1336</v>
      </c>
      <c r="D60" s="85" t="s">
        <v>205</v>
      </c>
      <c r="E60" s="86" t="s">
        <v>693</v>
      </c>
      <c r="F60" s="86" t="s">
        <v>694</v>
      </c>
      <c r="G60" s="87">
        <f>_xlfn.XLOOKUP(B60,Sheet1!A:A,Sheet1!C:C)</f>
        <v>423120</v>
      </c>
      <c r="H60" s="66" t="s">
        <v>61</v>
      </c>
    </row>
    <row r="61" spans="1:8" ht="15" customHeight="1" x14ac:dyDescent="0.25">
      <c r="A61" s="71" t="s">
        <v>458</v>
      </c>
      <c r="B61" s="88" t="s">
        <v>126</v>
      </c>
      <c r="C61" s="66">
        <v>1336</v>
      </c>
      <c r="D61" s="85" t="s">
        <v>205</v>
      </c>
      <c r="E61" s="86" t="s">
        <v>693</v>
      </c>
      <c r="F61" s="86" t="s">
        <v>694</v>
      </c>
      <c r="G61" s="87">
        <f>_xlfn.XLOOKUP(B61,Sheet1!A:A,Sheet1!C:C)</f>
        <v>505700</v>
      </c>
      <c r="H61" s="66" t="s">
        <v>61</v>
      </c>
    </row>
    <row r="62" spans="1:8" ht="15" customHeight="1" x14ac:dyDescent="0.25">
      <c r="A62" s="71" t="s">
        <v>297</v>
      </c>
      <c r="B62" s="88" t="s">
        <v>128</v>
      </c>
      <c r="C62" s="66">
        <v>1313</v>
      </c>
      <c r="D62" s="85" t="s">
        <v>205</v>
      </c>
      <c r="E62" s="86" t="s">
        <v>693</v>
      </c>
      <c r="F62" s="86" t="s">
        <v>694</v>
      </c>
      <c r="G62" s="87">
        <f>_xlfn.XLOOKUP(B62,Sheet1!A:A,Sheet1!C:C)</f>
        <v>441300</v>
      </c>
      <c r="H62" s="66" t="s">
        <v>61</v>
      </c>
    </row>
    <row r="63" spans="1:8" ht="15" customHeight="1" x14ac:dyDescent="0.25">
      <c r="A63" s="71" t="s">
        <v>298</v>
      </c>
      <c r="B63" s="88" t="s">
        <v>129</v>
      </c>
      <c r="C63" s="66">
        <v>1313</v>
      </c>
      <c r="D63" s="85" t="s">
        <v>205</v>
      </c>
      <c r="E63" s="86" t="s">
        <v>693</v>
      </c>
      <c r="F63" s="86" t="s">
        <v>694</v>
      </c>
      <c r="G63" s="87">
        <f>_xlfn.XLOOKUP(B63,Sheet1!A:A,Sheet1!C:C)</f>
        <v>399240</v>
      </c>
      <c r="H63" s="66" t="s">
        <v>61</v>
      </c>
    </row>
    <row r="64" spans="1:8" ht="15" customHeight="1" x14ac:dyDescent="0.25">
      <c r="A64" s="71" t="s">
        <v>701</v>
      </c>
      <c r="B64" s="88" t="s">
        <v>130</v>
      </c>
      <c r="C64" s="66">
        <v>1313</v>
      </c>
      <c r="D64" s="85" t="s">
        <v>205</v>
      </c>
      <c r="E64" s="86" t="s">
        <v>693</v>
      </c>
      <c r="F64" s="86" t="s">
        <v>694</v>
      </c>
      <c r="G64" s="87">
        <f>_xlfn.XLOOKUP(B64,Sheet1!A:A,Sheet1!C:C)</f>
        <v>891060</v>
      </c>
      <c r="H64" s="66" t="s">
        <v>61</v>
      </c>
    </row>
    <row r="65" spans="1:8" ht="15" customHeight="1" x14ac:dyDescent="0.25">
      <c r="A65" s="71" t="s">
        <v>683</v>
      </c>
      <c r="B65" s="88" t="s">
        <v>131</v>
      </c>
      <c r="C65" s="66">
        <v>1313</v>
      </c>
      <c r="D65" s="85" t="s">
        <v>205</v>
      </c>
      <c r="E65" s="86" t="s">
        <v>693</v>
      </c>
      <c r="F65" s="86" t="s">
        <v>694</v>
      </c>
      <c r="G65" s="87">
        <f>_xlfn.XLOOKUP(B65,Sheet1!A:A,Sheet1!C:C)</f>
        <v>576310</v>
      </c>
      <c r="H65" s="66" t="s">
        <v>61</v>
      </c>
    </row>
    <row r="66" spans="1:8" ht="15" customHeight="1" x14ac:dyDescent="0.25">
      <c r="A66" s="71" t="s">
        <v>299</v>
      </c>
      <c r="B66" s="88" t="s">
        <v>132</v>
      </c>
      <c r="C66" s="66">
        <v>1313</v>
      </c>
      <c r="D66" s="85" t="s">
        <v>205</v>
      </c>
      <c r="E66" s="86" t="s">
        <v>693</v>
      </c>
      <c r="F66" s="86" t="s">
        <v>694</v>
      </c>
      <c r="G66" s="87">
        <f>_xlfn.XLOOKUP(B66,Sheet1!A:A,Sheet1!C:C)</f>
        <v>552470</v>
      </c>
      <c r="H66" s="66" t="s">
        <v>61</v>
      </c>
    </row>
    <row r="67" spans="1:8" ht="15" customHeight="1" x14ac:dyDescent="0.25">
      <c r="A67" s="71" t="s">
        <v>189</v>
      </c>
      <c r="B67" s="88" t="s">
        <v>133</v>
      </c>
      <c r="C67" s="66">
        <v>1313</v>
      </c>
      <c r="D67" s="85" t="s">
        <v>205</v>
      </c>
      <c r="E67" s="86" t="s">
        <v>693</v>
      </c>
      <c r="F67" s="86" t="s">
        <v>694</v>
      </c>
      <c r="G67" s="87">
        <f>_xlfn.XLOOKUP(B67,Sheet1!A:A,Sheet1!C:C)</f>
        <v>444960</v>
      </c>
      <c r="H67" s="66" t="s">
        <v>61</v>
      </c>
    </row>
    <row r="68" spans="1:8" ht="15" customHeight="1" x14ac:dyDescent="0.25">
      <c r="A68" s="71" t="s">
        <v>460</v>
      </c>
      <c r="B68" s="88" t="s">
        <v>135</v>
      </c>
      <c r="C68" s="66">
        <v>1313</v>
      </c>
      <c r="D68" s="85" t="s">
        <v>205</v>
      </c>
      <c r="E68" s="86" t="s">
        <v>693</v>
      </c>
      <c r="F68" s="86" t="s">
        <v>694</v>
      </c>
      <c r="G68" s="87">
        <f>_xlfn.XLOOKUP(B68,Sheet1!A:A,Sheet1!C:C)</f>
        <v>474440</v>
      </c>
      <c r="H68" s="66" t="s">
        <v>61</v>
      </c>
    </row>
    <row r="69" spans="1:8" ht="15" customHeight="1" x14ac:dyDescent="0.25">
      <c r="A69" s="71" t="s">
        <v>300</v>
      </c>
      <c r="B69" s="88" t="s">
        <v>136</v>
      </c>
      <c r="C69" s="66">
        <v>1313</v>
      </c>
      <c r="D69" s="85" t="s">
        <v>205</v>
      </c>
      <c r="E69" s="86" t="s">
        <v>693</v>
      </c>
      <c r="F69" s="86" t="s">
        <v>694</v>
      </c>
      <c r="G69" s="87">
        <f>_xlfn.XLOOKUP(B69,Sheet1!A:A,Sheet1!C:C)</f>
        <v>512850</v>
      </c>
      <c r="H69" s="66" t="s">
        <v>61</v>
      </c>
    </row>
    <row r="70" spans="1:8" ht="15" customHeight="1" x14ac:dyDescent="0.25">
      <c r="A70" s="71" t="s">
        <v>301</v>
      </c>
      <c r="B70" s="88" t="s">
        <v>137</v>
      </c>
      <c r="C70" s="66">
        <v>1313</v>
      </c>
      <c r="D70" s="85" t="s">
        <v>205</v>
      </c>
      <c r="E70" s="86" t="s">
        <v>693</v>
      </c>
      <c r="F70" s="86" t="s">
        <v>694</v>
      </c>
      <c r="G70" s="87">
        <f>_xlfn.XLOOKUP(B70,Sheet1!A:A,Sheet1!C:C)</f>
        <v>521450</v>
      </c>
      <c r="H70" s="66" t="s">
        <v>61</v>
      </c>
    </row>
    <row r="71" spans="1:8" ht="15" customHeight="1" x14ac:dyDescent="0.25">
      <c r="A71" s="71" t="s">
        <v>461</v>
      </c>
      <c r="B71" s="88" t="s">
        <v>138</v>
      </c>
      <c r="C71" s="66">
        <v>1313</v>
      </c>
      <c r="D71" s="85" t="s">
        <v>205</v>
      </c>
      <c r="E71" s="86" t="s">
        <v>693</v>
      </c>
      <c r="F71" s="86" t="s">
        <v>694</v>
      </c>
      <c r="G71" s="87">
        <f>_xlfn.XLOOKUP(B71,Sheet1!A:A,Sheet1!C:C)</f>
        <v>530100</v>
      </c>
      <c r="H71" s="66" t="s">
        <v>61</v>
      </c>
    </row>
    <row r="72" spans="1:8" ht="15" customHeight="1" x14ac:dyDescent="0.25">
      <c r="A72" s="71" t="s">
        <v>302</v>
      </c>
      <c r="B72" s="88" t="s">
        <v>139</v>
      </c>
      <c r="C72" s="66">
        <v>1313</v>
      </c>
      <c r="D72" s="85" t="s">
        <v>205</v>
      </c>
      <c r="E72" s="86" t="s">
        <v>693</v>
      </c>
      <c r="F72" s="86" t="s">
        <v>694</v>
      </c>
      <c r="G72" s="87">
        <f>_xlfn.XLOOKUP(B72,Sheet1!A:A,Sheet1!C:C)</f>
        <v>448380</v>
      </c>
      <c r="H72" s="66" t="s">
        <v>61</v>
      </c>
    </row>
    <row r="73" spans="1:8" ht="15" customHeight="1" x14ac:dyDescent="0.25">
      <c r="A73" s="71" t="s">
        <v>684</v>
      </c>
      <c r="B73" s="88" t="s">
        <v>140</v>
      </c>
      <c r="C73" s="66">
        <v>1313</v>
      </c>
      <c r="D73" s="85" t="s">
        <v>205</v>
      </c>
      <c r="E73" s="86" t="s">
        <v>693</v>
      </c>
      <c r="F73" s="86" t="s">
        <v>694</v>
      </c>
      <c r="G73" s="87">
        <f>_xlfn.XLOOKUP(B73,Sheet1!A:A,Sheet1!C:C)</f>
        <v>593850</v>
      </c>
      <c r="H73" s="66" t="s">
        <v>61</v>
      </c>
    </row>
    <row r="74" spans="1:8" ht="15" customHeight="1" x14ac:dyDescent="0.25">
      <c r="A74" s="71" t="s">
        <v>703</v>
      </c>
      <c r="B74" s="88" t="s">
        <v>702</v>
      </c>
      <c r="C74" s="66">
        <v>1311</v>
      </c>
      <c r="D74" s="85" t="s">
        <v>205</v>
      </c>
      <c r="E74" s="86" t="s">
        <v>693</v>
      </c>
      <c r="F74" s="86" t="s">
        <v>694</v>
      </c>
      <c r="G74" s="87">
        <f>_xlfn.XLOOKUP(B74,Sheet1!A:A,Sheet1!C:C)</f>
        <v>318380</v>
      </c>
      <c r="H74" s="66" t="s">
        <v>61</v>
      </c>
    </row>
    <row r="75" spans="1:8" ht="15" customHeight="1" x14ac:dyDescent="0.25">
      <c r="A75" s="71" t="s">
        <v>193</v>
      </c>
      <c r="B75" s="88" t="s">
        <v>143</v>
      </c>
      <c r="C75" s="66">
        <v>1310</v>
      </c>
      <c r="D75" s="85" t="s">
        <v>205</v>
      </c>
      <c r="E75" s="86" t="s">
        <v>693</v>
      </c>
      <c r="F75" s="86" t="s">
        <v>694</v>
      </c>
      <c r="G75" s="87">
        <f>_xlfn.XLOOKUP(B75,Sheet1!A:A,Sheet1!C:C)</f>
        <v>348080</v>
      </c>
      <c r="H75" s="66" t="s">
        <v>61</v>
      </c>
    </row>
    <row r="76" spans="1:8" ht="15" customHeight="1" x14ac:dyDescent="0.25">
      <c r="A76" s="71" t="s">
        <v>303</v>
      </c>
      <c r="B76" s="88" t="s">
        <v>209</v>
      </c>
      <c r="C76" s="66">
        <v>1310</v>
      </c>
      <c r="D76" s="85" t="s">
        <v>205</v>
      </c>
      <c r="E76" s="86" t="s">
        <v>693</v>
      </c>
      <c r="F76" s="86" t="s">
        <v>694</v>
      </c>
      <c r="G76" s="87">
        <f>_xlfn.XLOOKUP(B76,Sheet1!A:A,Sheet1!C:C)</f>
        <v>420320</v>
      </c>
      <c r="H76" s="66" t="s">
        <v>61</v>
      </c>
    </row>
    <row r="77" spans="1:8" ht="15" customHeight="1" x14ac:dyDescent="0.25">
      <c r="A77" s="71" t="s">
        <v>190</v>
      </c>
      <c r="B77" s="88" t="s">
        <v>210</v>
      </c>
      <c r="C77" s="66">
        <v>1310</v>
      </c>
      <c r="D77" s="85" t="s">
        <v>205</v>
      </c>
      <c r="E77" s="86" t="s">
        <v>693</v>
      </c>
      <c r="F77" s="86" t="s">
        <v>694</v>
      </c>
      <c r="G77" s="87">
        <f>_xlfn.XLOOKUP(B77,Sheet1!A:A,Sheet1!C:C)</f>
        <v>330730</v>
      </c>
      <c r="H77" s="66" t="s">
        <v>61</v>
      </c>
    </row>
    <row r="78" spans="1:8" ht="15" customHeight="1" x14ac:dyDescent="0.25">
      <c r="A78" s="71" t="s">
        <v>191</v>
      </c>
      <c r="B78" s="66" t="s">
        <v>145</v>
      </c>
      <c r="C78" s="66">
        <v>1310</v>
      </c>
      <c r="D78" s="85" t="s">
        <v>205</v>
      </c>
      <c r="E78" s="86" t="s">
        <v>693</v>
      </c>
      <c r="F78" s="86" t="s">
        <v>694</v>
      </c>
      <c r="G78" s="87">
        <f>_xlfn.XLOOKUP(B78,Sheet1!A:A,Sheet1!C:C)</f>
        <v>368240</v>
      </c>
      <c r="H78" s="66" t="s">
        <v>61</v>
      </c>
    </row>
    <row r="79" spans="1:8" ht="15" customHeight="1" x14ac:dyDescent="0.25">
      <c r="A79" s="71" t="s">
        <v>685</v>
      </c>
      <c r="B79" s="88" t="s">
        <v>146</v>
      </c>
      <c r="C79" s="66">
        <v>1310</v>
      </c>
      <c r="D79" s="85" t="s">
        <v>205</v>
      </c>
      <c r="E79" s="86" t="s">
        <v>693</v>
      </c>
      <c r="F79" s="86" t="s">
        <v>694</v>
      </c>
      <c r="G79" s="87">
        <f>_xlfn.XLOOKUP(B79,Sheet1!A:A,Sheet1!C:C)</f>
        <v>365520</v>
      </c>
      <c r="H79" s="66" t="s">
        <v>61</v>
      </c>
    </row>
    <row r="80" spans="1:8" ht="15" customHeight="1" x14ac:dyDescent="0.25">
      <c r="A80" s="71" t="s">
        <v>304</v>
      </c>
      <c r="B80" s="88" t="s">
        <v>147</v>
      </c>
      <c r="C80" s="66">
        <v>1310</v>
      </c>
      <c r="D80" s="85" t="s">
        <v>205</v>
      </c>
      <c r="E80" s="86" t="s">
        <v>693</v>
      </c>
      <c r="F80" s="86" t="s">
        <v>694</v>
      </c>
      <c r="G80" s="87">
        <f>_xlfn.XLOOKUP(B80,Sheet1!A:A,Sheet1!C:C)</f>
        <v>537660</v>
      </c>
      <c r="H80" s="66" t="s">
        <v>61</v>
      </c>
    </row>
    <row r="81" spans="1:8" ht="15" customHeight="1" x14ac:dyDescent="0.25">
      <c r="A81" s="71" t="s">
        <v>704</v>
      </c>
      <c r="B81" s="88" t="s">
        <v>148</v>
      </c>
      <c r="C81" s="66">
        <v>1310</v>
      </c>
      <c r="D81" s="85" t="s">
        <v>205</v>
      </c>
      <c r="E81" s="86" t="s">
        <v>693</v>
      </c>
      <c r="F81" s="86" t="s">
        <v>694</v>
      </c>
      <c r="G81" s="87">
        <f>_xlfn.XLOOKUP(B81,Sheet1!A:A,Sheet1!C:C)</f>
        <v>471750</v>
      </c>
      <c r="H81" s="66" t="s">
        <v>61</v>
      </c>
    </row>
    <row r="82" spans="1:8" ht="15" customHeight="1" x14ac:dyDescent="0.25">
      <c r="A82" s="71" t="s">
        <v>686</v>
      </c>
      <c r="B82" s="88" t="s">
        <v>149</v>
      </c>
      <c r="C82" s="66">
        <v>1310</v>
      </c>
      <c r="D82" s="85" t="s">
        <v>205</v>
      </c>
      <c r="E82" s="86" t="s">
        <v>693</v>
      </c>
      <c r="F82" s="86" t="s">
        <v>694</v>
      </c>
      <c r="G82" s="87">
        <f>_xlfn.XLOOKUP(B82,Sheet1!A:A,Sheet1!C:C)</f>
        <v>519030</v>
      </c>
      <c r="H82" s="66" t="s">
        <v>61</v>
      </c>
    </row>
    <row r="83" spans="1:8" ht="15" customHeight="1" x14ac:dyDescent="0.25">
      <c r="A83" s="71" t="s">
        <v>192</v>
      </c>
      <c r="B83" s="88" t="s">
        <v>151</v>
      </c>
      <c r="C83" s="66">
        <v>1310</v>
      </c>
      <c r="D83" s="85" t="s">
        <v>205</v>
      </c>
      <c r="E83" s="86" t="s">
        <v>693</v>
      </c>
      <c r="F83" s="86" t="s">
        <v>694</v>
      </c>
      <c r="G83" s="87">
        <f>_xlfn.XLOOKUP(B83,Sheet1!A:A,Sheet1!C:C)</f>
        <v>359910</v>
      </c>
      <c r="H83" s="66" t="s">
        <v>61</v>
      </c>
    </row>
    <row r="84" spans="1:8" ht="15" customHeight="1" x14ac:dyDescent="0.25">
      <c r="A84" s="71" t="s">
        <v>687</v>
      </c>
      <c r="B84" s="88" t="s">
        <v>152</v>
      </c>
      <c r="C84" s="66">
        <v>1310</v>
      </c>
      <c r="D84" s="85" t="s">
        <v>205</v>
      </c>
      <c r="E84" s="86" t="s">
        <v>693</v>
      </c>
      <c r="F84" s="86" t="s">
        <v>694</v>
      </c>
      <c r="G84" s="87">
        <f>_xlfn.XLOOKUP(B84,Sheet1!A:A,Sheet1!C:C)</f>
        <v>340070</v>
      </c>
      <c r="H84" s="66" t="s">
        <v>61</v>
      </c>
    </row>
    <row r="85" spans="1:8" ht="15" customHeight="1" x14ac:dyDescent="0.25">
      <c r="A85" s="71" t="s">
        <v>305</v>
      </c>
      <c r="B85" s="88" t="s">
        <v>153</v>
      </c>
      <c r="C85" s="66">
        <v>1310</v>
      </c>
      <c r="D85" s="85" t="s">
        <v>205</v>
      </c>
      <c r="E85" s="86" t="s">
        <v>693</v>
      </c>
      <c r="F85" s="86" t="s">
        <v>694</v>
      </c>
      <c r="G85" s="87">
        <f>_xlfn.XLOOKUP(B85,Sheet1!A:A,Sheet1!C:C)</f>
        <v>350320</v>
      </c>
      <c r="H85" s="66" t="s">
        <v>61</v>
      </c>
    </row>
    <row r="86" spans="1:8" ht="15" customHeight="1" x14ac:dyDescent="0.25">
      <c r="A86" s="71" t="s">
        <v>194</v>
      </c>
      <c r="B86" s="88" t="s">
        <v>154</v>
      </c>
      <c r="C86" s="66">
        <v>1310</v>
      </c>
      <c r="D86" s="85" t="s">
        <v>205</v>
      </c>
      <c r="E86" s="86" t="s">
        <v>693</v>
      </c>
      <c r="F86" s="86" t="s">
        <v>694</v>
      </c>
      <c r="G86" s="87">
        <f>_xlfn.XLOOKUP(B86,Sheet1!A:A,Sheet1!C:C)</f>
        <v>300000</v>
      </c>
      <c r="H86" s="66" t="s">
        <v>61</v>
      </c>
    </row>
    <row r="87" spans="1:8" ht="15" customHeight="1" x14ac:dyDescent="0.25">
      <c r="A87" s="71" t="s">
        <v>31</v>
      </c>
      <c r="B87" s="88" t="s">
        <v>705</v>
      </c>
      <c r="C87" s="66">
        <v>1310</v>
      </c>
      <c r="D87" s="85" t="s">
        <v>205</v>
      </c>
      <c r="E87" s="86" t="s">
        <v>693</v>
      </c>
      <c r="F87" s="86" t="s">
        <v>694</v>
      </c>
      <c r="G87" s="87">
        <f>_xlfn.XLOOKUP(B87,Sheet1!A:A,Sheet1!C:C)</f>
        <v>364570</v>
      </c>
      <c r="H87" s="66" t="s">
        <v>61</v>
      </c>
    </row>
    <row r="88" spans="1:8" ht="15" customHeight="1" x14ac:dyDescent="0.25">
      <c r="A88" s="71" t="s">
        <v>253</v>
      </c>
      <c r="B88" s="88" t="s">
        <v>211</v>
      </c>
      <c r="C88" s="66">
        <v>1326</v>
      </c>
      <c r="D88" s="85" t="s">
        <v>205</v>
      </c>
      <c r="E88" s="86" t="s">
        <v>693</v>
      </c>
      <c r="F88" s="86" t="s">
        <v>694</v>
      </c>
      <c r="G88" s="87">
        <f>_xlfn.XLOOKUP(B88,Sheet1!A:A,Sheet1!C:C)</f>
        <v>319210</v>
      </c>
      <c r="H88" s="66" t="s">
        <v>61</v>
      </c>
    </row>
    <row r="89" spans="1:8" ht="15" customHeight="1" x14ac:dyDescent="0.25">
      <c r="A89" s="71" t="s">
        <v>31</v>
      </c>
      <c r="B89" s="88" t="s">
        <v>212</v>
      </c>
      <c r="C89" s="66">
        <v>1326</v>
      </c>
      <c r="D89" s="85" t="s">
        <v>205</v>
      </c>
      <c r="E89" s="86" t="s">
        <v>693</v>
      </c>
      <c r="F89" s="86" t="s">
        <v>694</v>
      </c>
      <c r="G89" s="87">
        <f>_xlfn.XLOOKUP(B89,Sheet1!A:A,Sheet1!C:C)</f>
        <v>318930</v>
      </c>
      <c r="H89" s="66" t="s">
        <v>61</v>
      </c>
    </row>
    <row r="90" spans="1:8" ht="15" customHeight="1" x14ac:dyDescent="0.25">
      <c r="A90" s="71" t="s">
        <v>306</v>
      </c>
      <c r="B90" s="88" t="s">
        <v>213</v>
      </c>
      <c r="C90" s="66">
        <v>1326</v>
      </c>
      <c r="D90" s="85" t="s">
        <v>205</v>
      </c>
      <c r="E90" s="86" t="s">
        <v>693</v>
      </c>
      <c r="F90" s="86" t="s">
        <v>694</v>
      </c>
      <c r="G90" s="87">
        <f>_xlfn.XLOOKUP(B90,Sheet1!A:A,Sheet1!C:C)</f>
        <v>461660</v>
      </c>
      <c r="H90" s="66" t="s">
        <v>61</v>
      </c>
    </row>
    <row r="91" spans="1:8" ht="15" customHeight="1" x14ac:dyDescent="0.25">
      <c r="A91" s="71" t="s">
        <v>254</v>
      </c>
      <c r="B91" s="88" t="s">
        <v>214</v>
      </c>
      <c r="C91" s="66">
        <v>1326</v>
      </c>
      <c r="D91" s="85" t="s">
        <v>205</v>
      </c>
      <c r="E91" s="86" t="s">
        <v>693</v>
      </c>
      <c r="F91" s="86" t="s">
        <v>694</v>
      </c>
      <c r="G91" s="87">
        <f>_xlfn.XLOOKUP(B91,Sheet1!A:A,Sheet1!C:C)</f>
        <v>408690</v>
      </c>
      <c r="H91" s="66" t="s">
        <v>61</v>
      </c>
    </row>
    <row r="92" spans="1:8" ht="15" customHeight="1" x14ac:dyDescent="0.25">
      <c r="A92" s="71" t="s">
        <v>307</v>
      </c>
      <c r="B92" s="88" t="s">
        <v>215</v>
      </c>
      <c r="C92" s="66">
        <v>1326</v>
      </c>
      <c r="D92" s="85" t="s">
        <v>205</v>
      </c>
      <c r="E92" s="86" t="s">
        <v>693</v>
      </c>
      <c r="F92" s="86" t="s">
        <v>694</v>
      </c>
      <c r="G92" s="87">
        <f>_xlfn.XLOOKUP(B92,Sheet1!A:A,Sheet1!C:C)</f>
        <v>339520</v>
      </c>
      <c r="H92" s="66" t="s">
        <v>61</v>
      </c>
    </row>
    <row r="93" spans="1:8" ht="15" customHeight="1" x14ac:dyDescent="0.25">
      <c r="A93" s="71" t="s">
        <v>308</v>
      </c>
      <c r="B93" s="88" t="s">
        <v>216</v>
      </c>
      <c r="C93" s="66">
        <v>1326</v>
      </c>
      <c r="D93" s="85" t="s">
        <v>205</v>
      </c>
      <c r="E93" s="86" t="s">
        <v>693</v>
      </c>
      <c r="F93" s="86" t="s">
        <v>694</v>
      </c>
      <c r="G93" s="87">
        <f>_xlfn.XLOOKUP(B93,Sheet1!A:A,Sheet1!C:C)</f>
        <v>432450</v>
      </c>
      <c r="H93" s="66" t="s">
        <v>61</v>
      </c>
    </row>
    <row r="94" spans="1:8" ht="15" customHeight="1" x14ac:dyDescent="0.25">
      <c r="A94" s="71" t="s">
        <v>256</v>
      </c>
      <c r="B94" s="88" t="s">
        <v>218</v>
      </c>
      <c r="C94" s="66">
        <v>1326</v>
      </c>
      <c r="D94" s="85" t="s">
        <v>205</v>
      </c>
      <c r="E94" s="86" t="s">
        <v>693</v>
      </c>
      <c r="F94" s="86" t="s">
        <v>694</v>
      </c>
      <c r="G94" s="87">
        <f>_xlfn.XLOOKUP(B94,Sheet1!A:A,Sheet1!C:C)</f>
        <v>618370</v>
      </c>
      <c r="H94" s="66" t="s">
        <v>61</v>
      </c>
    </row>
    <row r="95" spans="1:8" ht="15" customHeight="1" x14ac:dyDescent="0.25">
      <c r="A95" s="71" t="s">
        <v>309</v>
      </c>
      <c r="B95" s="88" t="s">
        <v>219</v>
      </c>
      <c r="C95" s="66">
        <v>1326</v>
      </c>
      <c r="D95" s="85" t="s">
        <v>205</v>
      </c>
      <c r="E95" s="86" t="s">
        <v>693</v>
      </c>
      <c r="F95" s="86" t="s">
        <v>694</v>
      </c>
      <c r="G95" s="87">
        <f>_xlfn.XLOOKUP(B95,Sheet1!A:A,Sheet1!C:C)</f>
        <v>612130</v>
      </c>
      <c r="H95" s="66" t="s">
        <v>61</v>
      </c>
    </row>
    <row r="96" spans="1:8" ht="15" customHeight="1" x14ac:dyDescent="0.25">
      <c r="A96" s="71" t="s">
        <v>257</v>
      </c>
      <c r="B96" s="88" t="s">
        <v>220</v>
      </c>
      <c r="C96" s="66">
        <v>1326</v>
      </c>
      <c r="D96" s="85" t="s">
        <v>205</v>
      </c>
      <c r="E96" s="86" t="s">
        <v>693</v>
      </c>
      <c r="F96" s="86" t="s">
        <v>694</v>
      </c>
      <c r="G96" s="87">
        <f>_xlfn.XLOOKUP(B96,Sheet1!A:A,Sheet1!C:C)</f>
        <v>443690</v>
      </c>
      <c r="H96" s="66" t="s">
        <v>61</v>
      </c>
    </row>
    <row r="97" spans="1:8" ht="15" customHeight="1" x14ac:dyDescent="0.25">
      <c r="A97" s="71" t="s">
        <v>258</v>
      </c>
      <c r="B97" s="88" t="s">
        <v>221</v>
      </c>
      <c r="C97" s="66">
        <v>1326</v>
      </c>
      <c r="D97" s="85" t="s">
        <v>205</v>
      </c>
      <c r="E97" s="86" t="s">
        <v>693</v>
      </c>
      <c r="F97" s="86" t="s">
        <v>694</v>
      </c>
      <c r="G97" s="87">
        <f>_xlfn.XLOOKUP(B97,Sheet1!A:A,Sheet1!C:C)</f>
        <v>416820</v>
      </c>
      <c r="H97" s="66" t="s">
        <v>61</v>
      </c>
    </row>
    <row r="98" spans="1:8" ht="15" customHeight="1" x14ac:dyDescent="0.25">
      <c r="A98" s="71" t="s">
        <v>310</v>
      </c>
      <c r="B98" s="88" t="s">
        <v>222</v>
      </c>
      <c r="C98" s="66">
        <v>1326</v>
      </c>
      <c r="D98" s="85" t="s">
        <v>205</v>
      </c>
      <c r="E98" s="86" t="s">
        <v>693</v>
      </c>
      <c r="F98" s="86" t="s">
        <v>694</v>
      </c>
      <c r="G98" s="87">
        <f>_xlfn.XLOOKUP(B98,Sheet1!A:A,Sheet1!C:C)</f>
        <v>303380</v>
      </c>
      <c r="H98" s="66" t="s">
        <v>61</v>
      </c>
    </row>
    <row r="99" spans="1:8" ht="15" customHeight="1" x14ac:dyDescent="0.25">
      <c r="A99" s="71" t="s">
        <v>259</v>
      </c>
      <c r="B99" s="88" t="s">
        <v>224</v>
      </c>
      <c r="C99" s="66">
        <v>1327</v>
      </c>
      <c r="D99" s="85" t="s">
        <v>205</v>
      </c>
      <c r="E99" s="86" t="s">
        <v>693</v>
      </c>
      <c r="F99" s="86" t="s">
        <v>694</v>
      </c>
      <c r="G99" s="87">
        <f>_xlfn.XLOOKUP(B99,Sheet1!A:A,Sheet1!C:C)</f>
        <v>456420</v>
      </c>
      <c r="H99" s="66" t="s">
        <v>61</v>
      </c>
    </row>
    <row r="100" spans="1:8" ht="15" customHeight="1" x14ac:dyDescent="0.25">
      <c r="A100" s="71" t="s">
        <v>260</v>
      </c>
      <c r="B100" s="88" t="s">
        <v>225</v>
      </c>
      <c r="C100" s="66">
        <v>1327</v>
      </c>
      <c r="D100" s="85" t="s">
        <v>205</v>
      </c>
      <c r="E100" s="86" t="s">
        <v>693</v>
      </c>
      <c r="F100" s="86" t="s">
        <v>694</v>
      </c>
      <c r="G100" s="87">
        <f>_xlfn.XLOOKUP(B100,Sheet1!A:A,Sheet1!C:C)</f>
        <v>689120</v>
      </c>
      <c r="H100" s="66" t="s">
        <v>61</v>
      </c>
    </row>
    <row r="101" spans="1:8" ht="15" customHeight="1" x14ac:dyDescent="0.25">
      <c r="A101" s="71" t="s">
        <v>312</v>
      </c>
      <c r="B101" s="88" t="s">
        <v>226</v>
      </c>
      <c r="C101" s="66">
        <v>1327</v>
      </c>
      <c r="D101" s="85" t="s">
        <v>205</v>
      </c>
      <c r="E101" s="86" t="s">
        <v>693</v>
      </c>
      <c r="F101" s="86" t="s">
        <v>694</v>
      </c>
      <c r="G101" s="87">
        <f>_xlfn.XLOOKUP(B101,Sheet1!A:A,Sheet1!C:C)</f>
        <v>524440</v>
      </c>
      <c r="H101" s="66" t="s">
        <v>61</v>
      </c>
    </row>
    <row r="102" spans="1:8" ht="15" customHeight="1" x14ac:dyDescent="0.25">
      <c r="A102" s="71" t="s">
        <v>464</v>
      </c>
      <c r="B102" s="88" t="s">
        <v>227</v>
      </c>
      <c r="C102" s="66">
        <v>1327</v>
      </c>
      <c r="D102" s="85" t="s">
        <v>205</v>
      </c>
      <c r="E102" s="86" t="s">
        <v>693</v>
      </c>
      <c r="F102" s="86" t="s">
        <v>694</v>
      </c>
      <c r="G102" s="87">
        <f>_xlfn.XLOOKUP(B102,Sheet1!A:A,Sheet1!C:C)</f>
        <v>675830</v>
      </c>
      <c r="H102" s="66" t="s">
        <v>61</v>
      </c>
    </row>
    <row r="103" spans="1:8" ht="15" customHeight="1" x14ac:dyDescent="0.25">
      <c r="A103" s="71" t="s">
        <v>31</v>
      </c>
      <c r="B103" s="88" t="s">
        <v>228</v>
      </c>
      <c r="C103" s="66">
        <v>1327</v>
      </c>
      <c r="D103" s="85" t="s">
        <v>205</v>
      </c>
      <c r="E103" s="86" t="s">
        <v>693</v>
      </c>
      <c r="F103" s="86" t="s">
        <v>694</v>
      </c>
      <c r="G103" s="87">
        <f>_xlfn.XLOOKUP(B103,Sheet1!A:A,Sheet1!C:C)</f>
        <v>855860</v>
      </c>
      <c r="H103" s="66" t="s">
        <v>61</v>
      </c>
    </row>
    <row r="104" spans="1:8" ht="15" customHeight="1" x14ac:dyDescent="0.25">
      <c r="A104" s="71" t="s">
        <v>465</v>
      </c>
      <c r="B104" s="88" t="s">
        <v>229</v>
      </c>
      <c r="C104" s="66">
        <v>1327</v>
      </c>
      <c r="D104" s="85" t="s">
        <v>205</v>
      </c>
      <c r="E104" s="86" t="s">
        <v>693</v>
      </c>
      <c r="F104" s="86" t="s">
        <v>694</v>
      </c>
      <c r="G104" s="87">
        <f>_xlfn.XLOOKUP(B104,Sheet1!A:A,Sheet1!C:C)</f>
        <v>811850</v>
      </c>
      <c r="H104" s="66" t="s">
        <v>61</v>
      </c>
    </row>
    <row r="105" spans="1:8" ht="15" customHeight="1" x14ac:dyDescent="0.25">
      <c r="A105" s="71" t="s">
        <v>707</v>
      </c>
      <c r="B105" s="88" t="s">
        <v>231</v>
      </c>
      <c r="C105" s="66">
        <v>1324</v>
      </c>
      <c r="D105" s="85" t="s">
        <v>205</v>
      </c>
      <c r="E105" s="86" t="s">
        <v>693</v>
      </c>
      <c r="F105" s="86" t="s">
        <v>694</v>
      </c>
      <c r="G105" s="87">
        <f>_xlfn.XLOOKUP(B105,Sheet1!A:A,Sheet1!C:C)</f>
        <v>308340</v>
      </c>
      <c r="H105" s="66" t="s">
        <v>61</v>
      </c>
    </row>
    <row r="106" spans="1:8" ht="15" customHeight="1" x14ac:dyDescent="0.25">
      <c r="A106" s="71" t="s">
        <v>31</v>
      </c>
      <c r="B106" s="88" t="s">
        <v>232</v>
      </c>
      <c r="C106" s="66">
        <v>1324</v>
      </c>
      <c r="D106" s="85" t="s">
        <v>205</v>
      </c>
      <c r="E106" s="86" t="s">
        <v>693</v>
      </c>
      <c r="F106" s="86" t="s">
        <v>694</v>
      </c>
      <c r="G106" s="87">
        <f>_xlfn.XLOOKUP(B106,Sheet1!A:A,Sheet1!C:C)</f>
        <v>307750</v>
      </c>
      <c r="H106" s="66" t="s">
        <v>61</v>
      </c>
    </row>
    <row r="107" spans="1:8" ht="15" customHeight="1" x14ac:dyDescent="0.25">
      <c r="A107" s="71" t="s">
        <v>262</v>
      </c>
      <c r="B107" s="88" t="s">
        <v>233</v>
      </c>
      <c r="C107" s="66">
        <v>1324</v>
      </c>
      <c r="D107" s="85" t="s">
        <v>205</v>
      </c>
      <c r="E107" s="86" t="s">
        <v>693</v>
      </c>
      <c r="F107" s="86" t="s">
        <v>694</v>
      </c>
      <c r="G107" s="87">
        <f>_xlfn.XLOOKUP(B107,Sheet1!A:A,Sheet1!C:C)</f>
        <v>552700</v>
      </c>
      <c r="H107" s="66" t="s">
        <v>61</v>
      </c>
    </row>
    <row r="108" spans="1:8" ht="15" customHeight="1" x14ac:dyDescent="0.25">
      <c r="A108" s="71" t="s">
        <v>313</v>
      </c>
      <c r="B108" s="88" t="s">
        <v>234</v>
      </c>
      <c r="C108" s="66">
        <v>1324</v>
      </c>
      <c r="D108" s="85" t="s">
        <v>205</v>
      </c>
      <c r="E108" s="86" t="s">
        <v>693</v>
      </c>
      <c r="F108" s="86" t="s">
        <v>694</v>
      </c>
      <c r="G108" s="87">
        <f>_xlfn.XLOOKUP(B108,Sheet1!A:A,Sheet1!C:C)</f>
        <v>387580</v>
      </c>
      <c r="H108" s="66" t="s">
        <v>61</v>
      </c>
    </row>
    <row r="109" spans="1:8" ht="15" customHeight="1" x14ac:dyDescent="0.25">
      <c r="A109" s="71" t="s">
        <v>314</v>
      </c>
      <c r="B109" s="88" t="s">
        <v>235</v>
      </c>
      <c r="C109" s="66">
        <v>1324</v>
      </c>
      <c r="D109" s="85" t="s">
        <v>205</v>
      </c>
      <c r="E109" s="86" t="s">
        <v>693</v>
      </c>
      <c r="F109" s="86" t="s">
        <v>694</v>
      </c>
      <c r="G109" s="87">
        <f>_xlfn.XLOOKUP(B109,Sheet1!A:A,Sheet1!C:C)</f>
        <v>303790</v>
      </c>
      <c r="H109" s="66" t="s">
        <v>61</v>
      </c>
    </row>
    <row r="110" spans="1:8" ht="15" customHeight="1" x14ac:dyDescent="0.25">
      <c r="A110" s="71" t="s">
        <v>264</v>
      </c>
      <c r="B110" s="88" t="s">
        <v>237</v>
      </c>
      <c r="C110" s="66">
        <v>1324</v>
      </c>
      <c r="D110" s="85" t="s">
        <v>205</v>
      </c>
      <c r="E110" s="86" t="s">
        <v>693</v>
      </c>
      <c r="F110" s="86" t="s">
        <v>694</v>
      </c>
      <c r="G110" s="87">
        <f>_xlfn.XLOOKUP(B110,Sheet1!A:A,Sheet1!C:C)</f>
        <v>312970</v>
      </c>
      <c r="H110" s="66" t="s">
        <v>61</v>
      </c>
    </row>
    <row r="111" spans="1:8" ht="15" customHeight="1" x14ac:dyDescent="0.25">
      <c r="A111" s="71" t="s">
        <v>315</v>
      </c>
      <c r="B111" s="88" t="s">
        <v>238</v>
      </c>
      <c r="C111" s="66">
        <v>1324</v>
      </c>
      <c r="D111" s="85" t="s">
        <v>205</v>
      </c>
      <c r="E111" s="86" t="s">
        <v>693</v>
      </c>
      <c r="F111" s="86" t="s">
        <v>694</v>
      </c>
      <c r="G111" s="87">
        <f>_xlfn.XLOOKUP(B111,Sheet1!A:A,Sheet1!C:C)</f>
        <v>310460</v>
      </c>
      <c r="H111" s="66" t="s">
        <v>61</v>
      </c>
    </row>
    <row r="112" spans="1:8" ht="15" customHeight="1" x14ac:dyDescent="0.25">
      <c r="A112" s="71" t="s">
        <v>265</v>
      </c>
      <c r="B112" s="88" t="s">
        <v>239</v>
      </c>
      <c r="C112" s="66">
        <v>1324</v>
      </c>
      <c r="D112" s="85" t="s">
        <v>205</v>
      </c>
      <c r="E112" s="86" t="s">
        <v>693</v>
      </c>
      <c r="F112" s="86" t="s">
        <v>694</v>
      </c>
      <c r="G112" s="87">
        <f>_xlfn.XLOOKUP(B112,Sheet1!A:A,Sheet1!C:C)</f>
        <v>307420</v>
      </c>
      <c r="H112" s="66" t="s">
        <v>61</v>
      </c>
    </row>
    <row r="113" spans="1:8" ht="15" customHeight="1" x14ac:dyDescent="0.25">
      <c r="A113" s="71" t="s">
        <v>316</v>
      </c>
      <c r="B113" s="88" t="s">
        <v>240</v>
      </c>
      <c r="C113" s="66">
        <v>1324</v>
      </c>
      <c r="D113" s="85" t="s">
        <v>205</v>
      </c>
      <c r="E113" s="86" t="s">
        <v>693</v>
      </c>
      <c r="F113" s="86" t="s">
        <v>694</v>
      </c>
      <c r="G113" s="87">
        <f>_xlfn.XLOOKUP(B113,Sheet1!A:A,Sheet1!C:C)</f>
        <v>464950</v>
      </c>
      <c r="H113" s="66" t="s">
        <v>61</v>
      </c>
    </row>
    <row r="114" spans="1:8" ht="15" customHeight="1" x14ac:dyDescent="0.25">
      <c r="A114" s="71" t="s">
        <v>708</v>
      </c>
      <c r="B114" s="88" t="s">
        <v>242</v>
      </c>
      <c r="C114" s="66">
        <v>1324</v>
      </c>
      <c r="D114" s="85" t="s">
        <v>205</v>
      </c>
      <c r="E114" s="86" t="s">
        <v>693</v>
      </c>
      <c r="F114" s="86" t="s">
        <v>694</v>
      </c>
      <c r="G114" s="87">
        <f>_xlfn.XLOOKUP(B114,Sheet1!A:A,Sheet1!C:C)</f>
        <v>356840</v>
      </c>
      <c r="H114" s="66" t="s">
        <v>61</v>
      </c>
    </row>
    <row r="115" spans="1:8" ht="15" customHeight="1" x14ac:dyDescent="0.25">
      <c r="A115" s="71" t="s">
        <v>317</v>
      </c>
      <c r="B115" s="88" t="s">
        <v>243</v>
      </c>
      <c r="C115" s="66">
        <v>1324</v>
      </c>
      <c r="D115" s="85" t="s">
        <v>205</v>
      </c>
      <c r="E115" s="86" t="s">
        <v>693</v>
      </c>
      <c r="F115" s="86" t="s">
        <v>694</v>
      </c>
      <c r="G115" s="87">
        <f>_xlfn.XLOOKUP(B115,Sheet1!A:A,Sheet1!C:C)</f>
        <v>388670</v>
      </c>
      <c r="H115" s="66" t="s">
        <v>61</v>
      </c>
    </row>
    <row r="116" spans="1:8" ht="15" customHeight="1" x14ac:dyDescent="0.25">
      <c r="A116" s="71" t="s">
        <v>318</v>
      </c>
      <c r="B116" s="88" t="s">
        <v>244</v>
      </c>
      <c r="C116" s="66">
        <v>1325</v>
      </c>
      <c r="D116" s="85" t="s">
        <v>205</v>
      </c>
      <c r="E116" s="86" t="s">
        <v>693</v>
      </c>
      <c r="F116" s="86" t="s">
        <v>694</v>
      </c>
      <c r="G116" s="87">
        <f>_xlfn.XLOOKUP(B116,Sheet1!A:A,Sheet1!C:C)</f>
        <v>303650</v>
      </c>
      <c r="H116" s="66" t="s">
        <v>61</v>
      </c>
    </row>
    <row r="117" spans="1:8" ht="15" customHeight="1" x14ac:dyDescent="0.25">
      <c r="A117" s="71" t="s">
        <v>319</v>
      </c>
      <c r="B117" s="88" t="s">
        <v>245</v>
      </c>
      <c r="C117" s="66">
        <v>1325</v>
      </c>
      <c r="D117" s="85" t="s">
        <v>205</v>
      </c>
      <c r="E117" s="86" t="s">
        <v>693</v>
      </c>
      <c r="F117" s="86" t="s">
        <v>694</v>
      </c>
      <c r="G117" s="87">
        <f>_xlfn.XLOOKUP(B117,Sheet1!A:A,Sheet1!C:C)</f>
        <v>310520</v>
      </c>
      <c r="H117" s="66" t="s">
        <v>61</v>
      </c>
    </row>
    <row r="118" spans="1:8" ht="15" customHeight="1" x14ac:dyDescent="0.25">
      <c r="A118" s="71" t="s">
        <v>311</v>
      </c>
      <c r="B118" s="88" t="s">
        <v>706</v>
      </c>
      <c r="C118" s="66">
        <v>1325</v>
      </c>
      <c r="D118" s="85" t="s">
        <v>205</v>
      </c>
      <c r="E118" s="86" t="s">
        <v>693</v>
      </c>
      <c r="F118" s="86" t="s">
        <v>694</v>
      </c>
      <c r="G118" s="87">
        <f>_xlfn.XLOOKUP(B118,Sheet1!A:A,Sheet1!C:C)</f>
        <v>309530</v>
      </c>
      <c r="H118" s="66" t="s">
        <v>61</v>
      </c>
    </row>
    <row r="119" spans="1:8" ht="15" customHeight="1" x14ac:dyDescent="0.25">
      <c r="A119" s="71" t="s">
        <v>466</v>
      </c>
      <c r="B119" s="88" t="s">
        <v>247</v>
      </c>
      <c r="C119" s="66">
        <v>1327</v>
      </c>
      <c r="D119" s="85" t="s">
        <v>205</v>
      </c>
      <c r="E119" s="86" t="s">
        <v>693</v>
      </c>
      <c r="F119" s="86" t="s">
        <v>694</v>
      </c>
      <c r="G119" s="87">
        <f>_xlfn.XLOOKUP(B119,Sheet1!A:A,Sheet1!C:C)</f>
        <v>657550</v>
      </c>
      <c r="H119" s="66" t="s">
        <v>61</v>
      </c>
    </row>
    <row r="120" spans="1:8" ht="15" customHeight="1" x14ac:dyDescent="0.25">
      <c r="A120" s="71" t="s">
        <v>320</v>
      </c>
      <c r="B120" s="88" t="s">
        <v>248</v>
      </c>
      <c r="C120" s="66">
        <v>1325</v>
      </c>
      <c r="D120" s="85" t="s">
        <v>205</v>
      </c>
      <c r="E120" s="86" t="s">
        <v>693</v>
      </c>
      <c r="F120" s="86" t="s">
        <v>694</v>
      </c>
      <c r="G120" s="87">
        <f>_xlfn.XLOOKUP(B120,Sheet1!A:A,Sheet1!C:C)</f>
        <v>301450</v>
      </c>
      <c r="H120" s="66" t="s">
        <v>61</v>
      </c>
    </row>
    <row r="121" spans="1:8" ht="15" customHeight="1" x14ac:dyDescent="0.25">
      <c r="A121" s="71" t="s">
        <v>266</v>
      </c>
      <c r="B121" s="88" t="s">
        <v>249</v>
      </c>
      <c r="C121" s="66">
        <v>1325</v>
      </c>
      <c r="D121" s="85" t="s">
        <v>205</v>
      </c>
      <c r="E121" s="86" t="s">
        <v>693</v>
      </c>
      <c r="F121" s="86" t="s">
        <v>694</v>
      </c>
      <c r="G121" s="87">
        <f>_xlfn.XLOOKUP(B121,Sheet1!A:A,Sheet1!C:C)</f>
        <v>301490</v>
      </c>
      <c r="H121" s="66" t="s">
        <v>61</v>
      </c>
    </row>
    <row r="122" spans="1:8" ht="15" customHeight="1" x14ac:dyDescent="0.25">
      <c r="A122" s="71" t="s">
        <v>463</v>
      </c>
      <c r="B122" s="88" t="s">
        <v>250</v>
      </c>
      <c r="C122" s="66">
        <v>1325</v>
      </c>
      <c r="D122" s="85" t="s">
        <v>205</v>
      </c>
      <c r="E122" s="86" t="s">
        <v>693</v>
      </c>
      <c r="F122" s="86" t="s">
        <v>694</v>
      </c>
      <c r="G122" s="87">
        <f>_xlfn.XLOOKUP(B122,Sheet1!A:A,Sheet1!C:C)</f>
        <v>310450</v>
      </c>
      <c r="H122" s="66" t="s">
        <v>61</v>
      </c>
    </row>
    <row r="123" spans="1:8" ht="15" customHeight="1" x14ac:dyDescent="0.25">
      <c r="A123" s="71" t="s">
        <v>321</v>
      </c>
      <c r="B123" s="88" t="s">
        <v>251</v>
      </c>
      <c r="C123" s="66">
        <v>1325</v>
      </c>
      <c r="D123" s="85" t="s">
        <v>205</v>
      </c>
      <c r="E123" s="86" t="s">
        <v>693</v>
      </c>
      <c r="F123" s="86" t="s">
        <v>694</v>
      </c>
      <c r="G123" s="87">
        <f>_xlfn.XLOOKUP(B123,Sheet1!A:A,Sheet1!C:C)</f>
        <v>310740</v>
      </c>
      <c r="H123" s="66" t="s">
        <v>61</v>
      </c>
    </row>
    <row r="124" spans="1:8" ht="15" customHeight="1" x14ac:dyDescent="0.25">
      <c r="A124" s="79" t="s">
        <v>269</v>
      </c>
      <c r="B124" s="63" t="s">
        <v>272</v>
      </c>
      <c r="C124" s="62">
        <v>1398</v>
      </c>
      <c r="D124" s="64" t="s">
        <v>205</v>
      </c>
      <c r="E124" s="65" t="s">
        <v>693</v>
      </c>
      <c r="F124" s="65" t="s">
        <v>694</v>
      </c>
      <c r="G124" s="84" t="e">
        <f>_xlfn.XLOOKUP(B124,Sheet1!A:A,Sheet1!C:C)</f>
        <v>#N/A</v>
      </c>
      <c r="H124" s="62" t="s">
        <v>61</v>
      </c>
    </row>
    <row r="125" spans="1:8" ht="15" customHeight="1" x14ac:dyDescent="0.25">
      <c r="A125" s="71" t="s">
        <v>351</v>
      </c>
      <c r="B125" s="88" t="s">
        <v>323</v>
      </c>
      <c r="C125" s="66">
        <v>1320</v>
      </c>
      <c r="D125" s="85" t="s">
        <v>205</v>
      </c>
      <c r="E125" s="86" t="s">
        <v>693</v>
      </c>
      <c r="F125" s="86" t="s">
        <v>694</v>
      </c>
      <c r="G125" s="87">
        <f>_xlfn.XLOOKUP(B125,Sheet1!A:A,Sheet1!C:C)</f>
        <v>300200</v>
      </c>
      <c r="H125" s="66" t="s">
        <v>61</v>
      </c>
    </row>
    <row r="126" spans="1:8" ht="15" customHeight="1" x14ac:dyDescent="0.25">
      <c r="A126" s="71" t="s">
        <v>352</v>
      </c>
      <c r="B126" s="88" t="s">
        <v>324</v>
      </c>
      <c r="C126" s="66">
        <v>1320</v>
      </c>
      <c r="D126" s="85" t="s">
        <v>205</v>
      </c>
      <c r="E126" s="86" t="s">
        <v>693</v>
      </c>
      <c r="F126" s="86" t="s">
        <v>694</v>
      </c>
      <c r="G126" s="87">
        <f>_xlfn.XLOOKUP(B126,Sheet1!A:A,Sheet1!C:C)</f>
        <v>330020</v>
      </c>
      <c r="H126" s="66" t="s">
        <v>61</v>
      </c>
    </row>
    <row r="127" spans="1:8" ht="15" customHeight="1" x14ac:dyDescent="0.25">
      <c r="A127" s="71" t="s">
        <v>353</v>
      </c>
      <c r="B127" s="88" t="s">
        <v>325</v>
      </c>
      <c r="C127" s="66">
        <v>1320</v>
      </c>
      <c r="D127" s="85" t="s">
        <v>205</v>
      </c>
      <c r="E127" s="86" t="s">
        <v>693</v>
      </c>
      <c r="F127" s="86" t="s">
        <v>694</v>
      </c>
      <c r="G127" s="87">
        <f>_xlfn.XLOOKUP(B127,Sheet1!A:A,Sheet1!C:C)</f>
        <v>300220</v>
      </c>
      <c r="H127" s="66" t="s">
        <v>61</v>
      </c>
    </row>
    <row r="128" spans="1:8" ht="15" customHeight="1" x14ac:dyDescent="0.25">
      <c r="A128" s="71" t="s">
        <v>709</v>
      </c>
      <c r="B128" s="88" t="s">
        <v>326</v>
      </c>
      <c r="C128" s="66">
        <v>1320</v>
      </c>
      <c r="D128" s="85" t="s">
        <v>205</v>
      </c>
      <c r="E128" s="86" t="s">
        <v>693</v>
      </c>
      <c r="F128" s="86" t="s">
        <v>694</v>
      </c>
      <c r="G128" s="87">
        <f>_xlfn.XLOOKUP(B128,Sheet1!A:A,Sheet1!C:C)</f>
        <v>320070</v>
      </c>
      <c r="H128" s="66" t="s">
        <v>61</v>
      </c>
    </row>
    <row r="129" spans="1:8" ht="15" customHeight="1" x14ac:dyDescent="0.25">
      <c r="A129" s="71" t="s">
        <v>468</v>
      </c>
      <c r="B129" s="88" t="s">
        <v>327</v>
      </c>
      <c r="C129" s="66">
        <v>1320</v>
      </c>
      <c r="D129" s="85" t="s">
        <v>205</v>
      </c>
      <c r="E129" s="86" t="s">
        <v>693</v>
      </c>
      <c r="F129" s="86" t="s">
        <v>694</v>
      </c>
      <c r="G129" s="87">
        <f>_xlfn.XLOOKUP(B129,Sheet1!A:A,Sheet1!C:C)</f>
        <v>300450</v>
      </c>
      <c r="H129" s="66" t="s">
        <v>61</v>
      </c>
    </row>
    <row r="130" spans="1:8" ht="15" customHeight="1" x14ac:dyDescent="0.25">
      <c r="A130" s="71" t="s">
        <v>355</v>
      </c>
      <c r="B130" s="88" t="s">
        <v>328</v>
      </c>
      <c r="C130" s="66">
        <v>1320</v>
      </c>
      <c r="D130" s="85" t="s">
        <v>205</v>
      </c>
      <c r="E130" s="86" t="s">
        <v>693</v>
      </c>
      <c r="F130" s="86" t="s">
        <v>694</v>
      </c>
      <c r="G130" s="87">
        <f>_xlfn.XLOOKUP(B130,Sheet1!A:A,Sheet1!C:C)</f>
        <v>443590</v>
      </c>
      <c r="H130" s="66" t="s">
        <v>61</v>
      </c>
    </row>
    <row r="131" spans="1:8" ht="15" customHeight="1" x14ac:dyDescent="0.25">
      <c r="A131" s="71" t="s">
        <v>470</v>
      </c>
      <c r="B131" s="88" t="s">
        <v>329</v>
      </c>
      <c r="C131" s="66">
        <v>1320</v>
      </c>
      <c r="D131" s="85" t="s">
        <v>205</v>
      </c>
      <c r="E131" s="86" t="s">
        <v>693</v>
      </c>
      <c r="F131" s="86" t="s">
        <v>694</v>
      </c>
      <c r="G131" s="87">
        <f>_xlfn.XLOOKUP(B131,Sheet1!A:A,Sheet1!C:C)</f>
        <v>352950</v>
      </c>
      <c r="H131" s="66" t="s">
        <v>61</v>
      </c>
    </row>
    <row r="132" spans="1:8" ht="15" customHeight="1" x14ac:dyDescent="0.25">
      <c r="A132" s="71" t="s">
        <v>354</v>
      </c>
      <c r="B132" s="88" t="s">
        <v>337</v>
      </c>
      <c r="C132" s="66">
        <v>1323</v>
      </c>
      <c r="D132" s="85" t="s">
        <v>205</v>
      </c>
      <c r="E132" s="86" t="s">
        <v>693</v>
      </c>
      <c r="F132" s="86" t="s">
        <v>694</v>
      </c>
      <c r="G132" s="87">
        <f>_xlfn.XLOOKUP(B132,Sheet1!A:A,Sheet1!C:C)</f>
        <v>340670</v>
      </c>
      <c r="H132" s="66" t="s">
        <v>61</v>
      </c>
    </row>
    <row r="133" spans="1:8" ht="15" customHeight="1" x14ac:dyDescent="0.25">
      <c r="A133" s="71" t="s">
        <v>357</v>
      </c>
      <c r="B133" s="88" t="s">
        <v>338</v>
      </c>
      <c r="C133" s="66">
        <v>1323</v>
      </c>
      <c r="D133" s="85" t="s">
        <v>205</v>
      </c>
      <c r="E133" s="86" t="s">
        <v>693</v>
      </c>
      <c r="F133" s="86" t="s">
        <v>694</v>
      </c>
      <c r="G133" s="87">
        <f>_xlfn.XLOOKUP(B133,Sheet1!A:A,Sheet1!C:C)</f>
        <v>417690</v>
      </c>
      <c r="H133" s="66" t="s">
        <v>61</v>
      </c>
    </row>
    <row r="134" spans="1:8" ht="15" customHeight="1" x14ac:dyDescent="0.25">
      <c r="A134" s="71" t="s">
        <v>358</v>
      </c>
      <c r="B134" s="88" t="s">
        <v>339</v>
      </c>
      <c r="C134" s="66">
        <v>1323</v>
      </c>
      <c r="D134" s="85" t="s">
        <v>205</v>
      </c>
      <c r="E134" s="86" t="s">
        <v>693</v>
      </c>
      <c r="F134" s="86" t="s">
        <v>694</v>
      </c>
      <c r="G134" s="87">
        <f>_xlfn.XLOOKUP(B134,Sheet1!A:A,Sheet1!C:C)</f>
        <v>369360</v>
      </c>
      <c r="H134" s="66" t="s">
        <v>61</v>
      </c>
    </row>
    <row r="135" spans="1:8" ht="15" customHeight="1" x14ac:dyDescent="0.25">
      <c r="A135" s="71" t="s">
        <v>359</v>
      </c>
      <c r="B135" s="88" t="s">
        <v>340</v>
      </c>
      <c r="C135" s="66">
        <v>1323</v>
      </c>
      <c r="D135" s="85" t="s">
        <v>205</v>
      </c>
      <c r="E135" s="86" t="s">
        <v>693</v>
      </c>
      <c r="F135" s="86" t="s">
        <v>694</v>
      </c>
      <c r="G135" s="87">
        <f>_xlfn.XLOOKUP(B135,Sheet1!A:A,Sheet1!C:C)</f>
        <v>372590</v>
      </c>
      <c r="H135" s="66" t="s">
        <v>61</v>
      </c>
    </row>
    <row r="136" spans="1:8" ht="15" customHeight="1" x14ac:dyDescent="0.25">
      <c r="A136" s="71" t="s">
        <v>360</v>
      </c>
      <c r="B136" s="88" t="s">
        <v>341</v>
      </c>
      <c r="C136" s="66">
        <v>1323</v>
      </c>
      <c r="D136" s="85" t="s">
        <v>205</v>
      </c>
      <c r="E136" s="86" t="s">
        <v>693</v>
      </c>
      <c r="F136" s="86" t="s">
        <v>694</v>
      </c>
      <c r="G136" s="87">
        <f>_xlfn.XLOOKUP(B136,Sheet1!A:A,Sheet1!C:C)</f>
        <v>300900</v>
      </c>
      <c r="H136" s="66" t="s">
        <v>61</v>
      </c>
    </row>
    <row r="137" spans="1:8" ht="15" customHeight="1" x14ac:dyDescent="0.25">
      <c r="A137" s="71" t="s">
        <v>362</v>
      </c>
      <c r="B137" s="88" t="s">
        <v>343</v>
      </c>
      <c r="C137" s="66">
        <v>1322</v>
      </c>
      <c r="D137" s="85" t="s">
        <v>205</v>
      </c>
      <c r="E137" s="86" t="s">
        <v>693</v>
      </c>
      <c r="F137" s="86" t="s">
        <v>694</v>
      </c>
      <c r="G137" s="87">
        <f>_xlfn.XLOOKUP(B137,Sheet1!A:A,Sheet1!C:C)</f>
        <v>300650</v>
      </c>
      <c r="H137" s="66" t="s">
        <v>61</v>
      </c>
    </row>
    <row r="138" spans="1:8" ht="15" customHeight="1" x14ac:dyDescent="0.25">
      <c r="A138" s="71" t="s">
        <v>363</v>
      </c>
      <c r="B138" s="88" t="s">
        <v>344</v>
      </c>
      <c r="C138" s="66">
        <v>1322</v>
      </c>
      <c r="D138" s="85" t="s">
        <v>205</v>
      </c>
      <c r="E138" s="86" t="s">
        <v>693</v>
      </c>
      <c r="F138" s="86" t="s">
        <v>694</v>
      </c>
      <c r="G138" s="87">
        <f>_xlfn.XLOOKUP(B138,Sheet1!A:A,Sheet1!C:C)</f>
        <v>300770</v>
      </c>
      <c r="H138" s="66" t="s">
        <v>61</v>
      </c>
    </row>
    <row r="139" spans="1:8" ht="15" customHeight="1" x14ac:dyDescent="0.25">
      <c r="A139" s="71" t="s">
        <v>471</v>
      </c>
      <c r="B139" s="88" t="s">
        <v>345</v>
      </c>
      <c r="C139" s="66">
        <v>1322</v>
      </c>
      <c r="D139" s="85" t="s">
        <v>205</v>
      </c>
      <c r="E139" s="86" t="s">
        <v>693</v>
      </c>
      <c r="F139" s="86" t="s">
        <v>694</v>
      </c>
      <c r="G139" s="87">
        <f>_xlfn.XLOOKUP(B139,Sheet1!A:A,Sheet1!C:C)</f>
        <v>300030</v>
      </c>
      <c r="H139" s="66" t="s">
        <v>61</v>
      </c>
    </row>
    <row r="140" spans="1:8" ht="15" customHeight="1" x14ac:dyDescent="0.25">
      <c r="A140" s="71" t="s">
        <v>710</v>
      </c>
      <c r="B140" s="88" t="s">
        <v>346</v>
      </c>
      <c r="C140" s="66">
        <v>1322</v>
      </c>
      <c r="D140" s="85" t="s">
        <v>205</v>
      </c>
      <c r="E140" s="86" t="s">
        <v>693</v>
      </c>
      <c r="F140" s="86" t="s">
        <v>694</v>
      </c>
      <c r="G140" s="87">
        <f>_xlfn.XLOOKUP(B140,Sheet1!A:A,Sheet1!C:C)</f>
        <v>300140</v>
      </c>
      <c r="H140" s="66" t="s">
        <v>61</v>
      </c>
    </row>
    <row r="141" spans="1:8" ht="15" customHeight="1" x14ac:dyDescent="0.25">
      <c r="A141" s="71" t="s">
        <v>31</v>
      </c>
      <c r="B141" s="88" t="s">
        <v>347</v>
      </c>
      <c r="C141" s="66">
        <v>1322</v>
      </c>
      <c r="D141" s="85" t="s">
        <v>205</v>
      </c>
      <c r="E141" s="86" t="s">
        <v>693</v>
      </c>
      <c r="F141" s="86" t="s">
        <v>694</v>
      </c>
      <c r="G141" s="87">
        <f>_xlfn.XLOOKUP(B141,Sheet1!A:A,Sheet1!C:C)</f>
        <v>303090</v>
      </c>
      <c r="H141" s="66" t="s">
        <v>61</v>
      </c>
    </row>
    <row r="142" spans="1:8" ht="15" customHeight="1" x14ac:dyDescent="0.25">
      <c r="A142" s="71" t="s">
        <v>364</v>
      </c>
      <c r="B142" s="88" t="s">
        <v>711</v>
      </c>
      <c r="C142" s="66">
        <v>1322</v>
      </c>
      <c r="D142" s="85" t="s">
        <v>205</v>
      </c>
      <c r="E142" s="86" t="s">
        <v>693</v>
      </c>
      <c r="F142" s="86" t="s">
        <v>694</v>
      </c>
      <c r="G142" s="87">
        <f>_xlfn.XLOOKUP(B142,Sheet1!A:A,Sheet1!C:C)</f>
        <v>300250</v>
      </c>
      <c r="H142" s="66" t="s">
        <v>61</v>
      </c>
    </row>
    <row r="143" spans="1:8" ht="15" customHeight="1" x14ac:dyDescent="0.25">
      <c r="A143" s="71" t="s">
        <v>365</v>
      </c>
      <c r="B143" s="88" t="s">
        <v>712</v>
      </c>
      <c r="C143" s="66">
        <v>1322</v>
      </c>
      <c r="D143" s="85" t="s">
        <v>205</v>
      </c>
      <c r="E143" s="86" t="s">
        <v>693</v>
      </c>
      <c r="F143" s="86" t="s">
        <v>694</v>
      </c>
      <c r="G143" s="87">
        <f>_xlfn.XLOOKUP(B143,Sheet1!A:A,Sheet1!C:C)</f>
        <v>472820</v>
      </c>
      <c r="H143" s="66" t="s">
        <v>61</v>
      </c>
    </row>
    <row r="144" spans="1:8" ht="15" customHeight="1" x14ac:dyDescent="0.25">
      <c r="A144" s="71" t="s">
        <v>366</v>
      </c>
      <c r="B144" s="88" t="s">
        <v>713</v>
      </c>
      <c r="C144" s="66">
        <v>1322</v>
      </c>
      <c r="D144" s="85" t="s">
        <v>205</v>
      </c>
      <c r="E144" s="86" t="s">
        <v>693</v>
      </c>
      <c r="F144" s="86" t="s">
        <v>694</v>
      </c>
      <c r="G144" s="87">
        <f>_xlfn.XLOOKUP(B144,Sheet1!A:A,Sheet1!C:C)</f>
        <v>480060</v>
      </c>
      <c r="H144" s="66" t="s">
        <v>61</v>
      </c>
    </row>
    <row r="145" spans="1:8" ht="15" customHeight="1" x14ac:dyDescent="0.25">
      <c r="A145" s="71" t="s">
        <v>367</v>
      </c>
      <c r="B145" s="88" t="s">
        <v>714</v>
      </c>
      <c r="C145" s="66">
        <v>1322</v>
      </c>
      <c r="D145" s="85" t="s">
        <v>205</v>
      </c>
      <c r="E145" s="86" t="s">
        <v>693</v>
      </c>
      <c r="F145" s="86" t="s">
        <v>694</v>
      </c>
      <c r="G145" s="87">
        <f>_xlfn.XLOOKUP(B145,Sheet1!A:A,Sheet1!C:C)</f>
        <v>356260</v>
      </c>
      <c r="H145" s="66" t="s">
        <v>61</v>
      </c>
    </row>
    <row r="146" spans="1:8" ht="15" customHeight="1" x14ac:dyDescent="0.25">
      <c r="A146" s="71" t="s">
        <v>716</v>
      </c>
      <c r="B146" s="88" t="s">
        <v>715</v>
      </c>
      <c r="C146" s="66">
        <v>1322</v>
      </c>
      <c r="D146" s="85" t="s">
        <v>205</v>
      </c>
      <c r="E146" s="86" t="s">
        <v>693</v>
      </c>
      <c r="F146" s="86" t="s">
        <v>694</v>
      </c>
      <c r="G146" s="87">
        <f>_xlfn.XLOOKUP(B146,Sheet1!A:A,Sheet1!C:C)</f>
        <v>300600</v>
      </c>
      <c r="H146" s="66" t="s">
        <v>61</v>
      </c>
    </row>
    <row r="147" spans="1:8" ht="15" customHeight="1" x14ac:dyDescent="0.25">
      <c r="A147" s="71" t="s">
        <v>612</v>
      </c>
      <c r="B147" s="88" t="s">
        <v>477</v>
      </c>
      <c r="C147" s="66">
        <v>1315</v>
      </c>
      <c r="D147" s="85" t="s">
        <v>205</v>
      </c>
      <c r="E147" s="86" t="s">
        <v>693</v>
      </c>
      <c r="F147" s="86" t="s">
        <v>694</v>
      </c>
      <c r="G147" s="87">
        <f>_xlfn.XLOOKUP(B147,Sheet1!A:A,Sheet1!C:C)</f>
        <v>396020</v>
      </c>
      <c r="H147" s="66" t="s">
        <v>61</v>
      </c>
    </row>
    <row r="148" spans="1:8" ht="15" customHeight="1" x14ac:dyDescent="0.25">
      <c r="A148" s="71" t="s">
        <v>619</v>
      </c>
      <c r="B148" s="88" t="s">
        <v>479</v>
      </c>
      <c r="C148" s="66">
        <v>1315</v>
      </c>
      <c r="D148" s="85" t="s">
        <v>205</v>
      </c>
      <c r="E148" s="86" t="s">
        <v>693</v>
      </c>
      <c r="F148" s="86" t="s">
        <v>694</v>
      </c>
      <c r="G148" s="87">
        <f>_xlfn.XLOOKUP(B148,Sheet1!A:A,Sheet1!C:C)</f>
        <v>371600</v>
      </c>
      <c r="H148" s="66" t="s">
        <v>61</v>
      </c>
    </row>
    <row r="149" spans="1:8" ht="15" customHeight="1" x14ac:dyDescent="0.25">
      <c r="A149" s="71" t="s">
        <v>615</v>
      </c>
      <c r="B149" s="88" t="s">
        <v>480</v>
      </c>
      <c r="C149" s="66">
        <v>1315</v>
      </c>
      <c r="D149" s="85" t="s">
        <v>205</v>
      </c>
      <c r="E149" s="86" t="s">
        <v>693</v>
      </c>
      <c r="F149" s="86" t="s">
        <v>694</v>
      </c>
      <c r="G149" s="87">
        <f>_xlfn.XLOOKUP(B149,Sheet1!A:A,Sheet1!C:C)</f>
        <v>717770</v>
      </c>
      <c r="H149" s="66" t="s">
        <v>61</v>
      </c>
    </row>
    <row r="150" spans="1:8" ht="15" customHeight="1" x14ac:dyDescent="0.25">
      <c r="A150" s="71" t="s">
        <v>614</v>
      </c>
      <c r="B150" s="88" t="s">
        <v>481</v>
      </c>
      <c r="C150" s="66">
        <v>1315</v>
      </c>
      <c r="D150" s="85" t="s">
        <v>205</v>
      </c>
      <c r="E150" s="86" t="s">
        <v>693</v>
      </c>
      <c r="F150" s="86" t="s">
        <v>694</v>
      </c>
      <c r="G150" s="87">
        <f>_xlfn.XLOOKUP(B150,Sheet1!A:A,Sheet1!C:C)</f>
        <v>304270</v>
      </c>
      <c r="H150" s="66" t="s">
        <v>61</v>
      </c>
    </row>
    <row r="151" spans="1:8" ht="15" customHeight="1" x14ac:dyDescent="0.25">
      <c r="A151" s="71" t="s">
        <v>613</v>
      </c>
      <c r="B151" s="88" t="s">
        <v>482</v>
      </c>
      <c r="C151" s="66">
        <v>1315</v>
      </c>
      <c r="D151" s="85" t="s">
        <v>205</v>
      </c>
      <c r="E151" s="86" t="s">
        <v>693</v>
      </c>
      <c r="F151" s="86" t="s">
        <v>694</v>
      </c>
      <c r="G151" s="87">
        <f>_xlfn.XLOOKUP(B151,Sheet1!A:A,Sheet1!C:C)</f>
        <v>668700</v>
      </c>
      <c r="H151" s="66" t="s">
        <v>61</v>
      </c>
    </row>
    <row r="152" spans="1:8" ht="15" customHeight="1" x14ac:dyDescent="0.25">
      <c r="A152" s="71" t="s">
        <v>31</v>
      </c>
      <c r="B152" s="88" t="s">
        <v>483</v>
      </c>
      <c r="C152" s="66">
        <v>1315</v>
      </c>
      <c r="D152" s="85" t="s">
        <v>205</v>
      </c>
      <c r="E152" s="86" t="s">
        <v>693</v>
      </c>
      <c r="F152" s="86" t="s">
        <v>694</v>
      </c>
      <c r="G152" s="87">
        <f>_xlfn.XLOOKUP(B152,Sheet1!A:A,Sheet1!C:C)</f>
        <v>464180</v>
      </c>
      <c r="H152" s="66" t="s">
        <v>61</v>
      </c>
    </row>
    <row r="153" spans="1:8" ht="15" customHeight="1" x14ac:dyDescent="0.25">
      <c r="A153" s="71" t="s">
        <v>622</v>
      </c>
      <c r="B153" s="88" t="s">
        <v>485</v>
      </c>
      <c r="C153" s="66">
        <v>1315</v>
      </c>
      <c r="D153" s="85" t="s">
        <v>205</v>
      </c>
      <c r="E153" s="86" t="s">
        <v>693</v>
      </c>
      <c r="F153" s="86" t="s">
        <v>694</v>
      </c>
      <c r="G153" s="87">
        <f>_xlfn.XLOOKUP(B153,Sheet1!A:A,Sheet1!C:C)</f>
        <v>948650</v>
      </c>
      <c r="H153" s="66" t="s">
        <v>61</v>
      </c>
    </row>
    <row r="154" spans="1:8" ht="15" customHeight="1" x14ac:dyDescent="0.25">
      <c r="A154" s="71" t="s">
        <v>618</v>
      </c>
      <c r="B154" s="88" t="s">
        <v>486</v>
      </c>
      <c r="C154" s="66">
        <v>1315</v>
      </c>
      <c r="D154" s="85" t="s">
        <v>205</v>
      </c>
      <c r="E154" s="86" t="s">
        <v>693</v>
      </c>
      <c r="F154" s="86" t="s">
        <v>694</v>
      </c>
      <c r="G154" s="87">
        <f>_xlfn.XLOOKUP(B154,Sheet1!A:A,Sheet1!C:C)</f>
        <v>355330</v>
      </c>
      <c r="H154" s="66" t="s">
        <v>61</v>
      </c>
    </row>
    <row r="155" spans="1:8" ht="15" customHeight="1" x14ac:dyDescent="0.25">
      <c r="A155" s="71" t="s">
        <v>617</v>
      </c>
      <c r="B155" s="88" t="s">
        <v>487</v>
      </c>
      <c r="C155" s="66">
        <v>1315</v>
      </c>
      <c r="D155" s="85" t="s">
        <v>205</v>
      </c>
      <c r="E155" s="86" t="s">
        <v>693</v>
      </c>
      <c r="F155" s="86" t="s">
        <v>694</v>
      </c>
      <c r="G155" s="87">
        <f>_xlfn.XLOOKUP(B155,Sheet1!A:A,Sheet1!C:C)</f>
        <v>286060</v>
      </c>
      <c r="H155" s="66" t="s">
        <v>61</v>
      </c>
    </row>
    <row r="156" spans="1:8" ht="15" customHeight="1" x14ac:dyDescent="0.25">
      <c r="A156" s="71" t="s">
        <v>620</v>
      </c>
      <c r="B156" s="88" t="s">
        <v>488</v>
      </c>
      <c r="C156" s="66">
        <v>1315</v>
      </c>
      <c r="D156" s="85" t="s">
        <v>205</v>
      </c>
      <c r="E156" s="86" t="s">
        <v>693</v>
      </c>
      <c r="F156" s="86" t="s">
        <v>694</v>
      </c>
      <c r="G156" s="87">
        <f>_xlfn.XLOOKUP(B156,Sheet1!A:A,Sheet1!C:C)</f>
        <v>430920</v>
      </c>
      <c r="H156" s="66" t="s">
        <v>61</v>
      </c>
    </row>
    <row r="157" spans="1:8" ht="15" customHeight="1" x14ac:dyDescent="0.25">
      <c r="A157" s="71" t="s">
        <v>621</v>
      </c>
      <c r="B157" s="88" t="s">
        <v>489</v>
      </c>
      <c r="C157" s="66">
        <v>1315</v>
      </c>
      <c r="D157" s="85" t="s">
        <v>205</v>
      </c>
      <c r="E157" s="86" t="s">
        <v>693</v>
      </c>
      <c r="F157" s="86" t="s">
        <v>694</v>
      </c>
      <c r="G157" s="87">
        <f>_xlfn.XLOOKUP(B157,Sheet1!A:A,Sheet1!C:C)</f>
        <v>724550</v>
      </c>
      <c r="H157" s="66" t="s">
        <v>61</v>
      </c>
    </row>
    <row r="158" spans="1:8" ht="15" customHeight="1" x14ac:dyDescent="0.25">
      <c r="A158" s="71" t="s">
        <v>31</v>
      </c>
      <c r="B158" s="88" t="s">
        <v>491</v>
      </c>
      <c r="C158" s="66">
        <v>1315</v>
      </c>
      <c r="D158" s="85" t="s">
        <v>205</v>
      </c>
      <c r="E158" s="86" t="s">
        <v>693</v>
      </c>
      <c r="F158" s="86" t="s">
        <v>694</v>
      </c>
      <c r="G158" s="87">
        <f>_xlfn.XLOOKUP(B158,Sheet1!A:A,Sheet1!C:C)</f>
        <v>389560</v>
      </c>
      <c r="H158" s="66" t="s">
        <v>61</v>
      </c>
    </row>
    <row r="159" spans="1:8" ht="15" customHeight="1" x14ac:dyDescent="0.25">
      <c r="A159" s="71" t="s">
        <v>624</v>
      </c>
      <c r="B159" s="88" t="s">
        <v>492</v>
      </c>
      <c r="C159" s="66">
        <v>1315</v>
      </c>
      <c r="D159" s="85" t="s">
        <v>205</v>
      </c>
      <c r="E159" s="86" t="s">
        <v>693</v>
      </c>
      <c r="F159" s="86" t="s">
        <v>694</v>
      </c>
      <c r="G159" s="87">
        <f>_xlfn.XLOOKUP(B159,Sheet1!A:A,Sheet1!C:C)</f>
        <v>323140</v>
      </c>
      <c r="H159" s="66" t="s">
        <v>61</v>
      </c>
    </row>
    <row r="160" spans="1:8" ht="15" customHeight="1" x14ac:dyDescent="0.25">
      <c r="A160" s="71" t="s">
        <v>625</v>
      </c>
      <c r="B160" s="88" t="s">
        <v>493</v>
      </c>
      <c r="C160" s="66">
        <v>1315</v>
      </c>
      <c r="D160" s="85" t="s">
        <v>205</v>
      </c>
      <c r="E160" s="86" t="s">
        <v>693</v>
      </c>
      <c r="F160" s="86" t="s">
        <v>694</v>
      </c>
      <c r="G160" s="87">
        <f>_xlfn.XLOOKUP(B160,Sheet1!A:A,Sheet1!C:C)</f>
        <v>567360</v>
      </c>
      <c r="H160" s="66" t="s">
        <v>61</v>
      </c>
    </row>
    <row r="161" spans="1:8" ht="15" customHeight="1" x14ac:dyDescent="0.25">
      <c r="A161" s="71" t="s">
        <v>626</v>
      </c>
      <c r="B161" s="88" t="s">
        <v>494</v>
      </c>
      <c r="C161" s="66">
        <v>1315</v>
      </c>
      <c r="D161" s="85" t="s">
        <v>205</v>
      </c>
      <c r="E161" s="86" t="s">
        <v>693</v>
      </c>
      <c r="F161" s="86" t="s">
        <v>694</v>
      </c>
      <c r="G161" s="87">
        <f>_xlfn.XLOOKUP(B161,Sheet1!A:A,Sheet1!C:C)</f>
        <v>391640</v>
      </c>
      <c r="H161" s="66" t="s">
        <v>61</v>
      </c>
    </row>
    <row r="162" spans="1:8" ht="15" customHeight="1" x14ac:dyDescent="0.25">
      <c r="A162" s="71" t="s">
        <v>627</v>
      </c>
      <c r="B162" s="88" t="s">
        <v>495</v>
      </c>
      <c r="C162" s="66">
        <v>1315</v>
      </c>
      <c r="D162" s="85" t="s">
        <v>205</v>
      </c>
      <c r="E162" s="86" t="s">
        <v>693</v>
      </c>
      <c r="F162" s="86" t="s">
        <v>694</v>
      </c>
      <c r="G162" s="87">
        <f>_xlfn.XLOOKUP(B162,Sheet1!A:A,Sheet1!C:C)</f>
        <v>346090</v>
      </c>
      <c r="H162" s="66" t="s">
        <v>61</v>
      </c>
    </row>
    <row r="163" spans="1:8" ht="15" customHeight="1" x14ac:dyDescent="0.25">
      <c r="A163" s="71" t="s">
        <v>31</v>
      </c>
      <c r="B163" s="88" t="s">
        <v>496</v>
      </c>
      <c r="C163" s="66">
        <v>1315</v>
      </c>
      <c r="D163" s="85" t="s">
        <v>205</v>
      </c>
      <c r="E163" s="86" t="s">
        <v>693</v>
      </c>
      <c r="F163" s="86" t="s">
        <v>694</v>
      </c>
      <c r="G163" s="87">
        <f>_xlfn.XLOOKUP(B163,Sheet1!A:A,Sheet1!C:C)</f>
        <v>366260</v>
      </c>
      <c r="H163" s="66" t="s">
        <v>61</v>
      </c>
    </row>
    <row r="164" spans="1:8" ht="15" customHeight="1" x14ac:dyDescent="0.25">
      <c r="A164" s="71" t="s">
        <v>31</v>
      </c>
      <c r="B164" s="88" t="s">
        <v>497</v>
      </c>
      <c r="C164" s="66">
        <v>1315</v>
      </c>
      <c r="D164" s="85" t="s">
        <v>205</v>
      </c>
      <c r="E164" s="86" t="s">
        <v>693</v>
      </c>
      <c r="F164" s="86" t="s">
        <v>694</v>
      </c>
      <c r="G164" s="87">
        <f>_xlfn.XLOOKUP(B164,Sheet1!A:A,Sheet1!C:C)</f>
        <v>878110</v>
      </c>
      <c r="H164" s="66" t="s">
        <v>61</v>
      </c>
    </row>
    <row r="165" spans="1:8" ht="15" customHeight="1" x14ac:dyDescent="0.25">
      <c r="A165" s="71" t="s">
        <v>629</v>
      </c>
      <c r="B165" s="88" t="s">
        <v>499</v>
      </c>
      <c r="C165" s="66">
        <v>1315</v>
      </c>
      <c r="D165" s="85" t="s">
        <v>205</v>
      </c>
      <c r="E165" s="86" t="s">
        <v>693</v>
      </c>
      <c r="F165" s="86" t="s">
        <v>694</v>
      </c>
      <c r="G165" s="87">
        <f>_xlfn.XLOOKUP(B165,Sheet1!A:A,Sheet1!C:C)</f>
        <v>366420</v>
      </c>
      <c r="H165" s="66" t="s">
        <v>61</v>
      </c>
    </row>
    <row r="166" spans="1:8" ht="15" customHeight="1" x14ac:dyDescent="0.25">
      <c r="A166" s="71" t="s">
        <v>630</v>
      </c>
      <c r="B166" s="88" t="s">
        <v>500</v>
      </c>
      <c r="C166" s="66">
        <v>1315</v>
      </c>
      <c r="D166" s="85" t="s">
        <v>205</v>
      </c>
      <c r="E166" s="86" t="s">
        <v>693</v>
      </c>
      <c r="F166" s="86" t="s">
        <v>694</v>
      </c>
      <c r="G166" s="87">
        <f>_xlfn.XLOOKUP(B166,Sheet1!A:A,Sheet1!C:C)</f>
        <v>325720</v>
      </c>
      <c r="H166" s="66" t="s">
        <v>61</v>
      </c>
    </row>
    <row r="167" spans="1:8" ht="15" customHeight="1" x14ac:dyDescent="0.25">
      <c r="A167" s="71" t="s">
        <v>31</v>
      </c>
      <c r="B167" s="88" t="s">
        <v>501</v>
      </c>
      <c r="C167" s="66">
        <v>1315</v>
      </c>
      <c r="D167" s="85" t="s">
        <v>205</v>
      </c>
      <c r="E167" s="86" t="s">
        <v>693</v>
      </c>
      <c r="F167" s="86" t="s">
        <v>694</v>
      </c>
      <c r="G167" s="87">
        <f>_xlfn.XLOOKUP(B167,Sheet1!A:A,Sheet1!C:C)</f>
        <v>630140</v>
      </c>
      <c r="H167" s="66" t="s">
        <v>61</v>
      </c>
    </row>
    <row r="168" spans="1:8" ht="15" customHeight="1" x14ac:dyDescent="0.25">
      <c r="A168" s="71" t="s">
        <v>31</v>
      </c>
      <c r="B168" s="88" t="s">
        <v>502</v>
      </c>
      <c r="C168" s="66">
        <v>1315</v>
      </c>
      <c r="D168" s="85" t="s">
        <v>205</v>
      </c>
      <c r="E168" s="86" t="s">
        <v>693</v>
      </c>
      <c r="F168" s="86" t="s">
        <v>694</v>
      </c>
      <c r="G168" s="87">
        <f>_xlfn.XLOOKUP(B168,Sheet1!A:A,Sheet1!C:C)</f>
        <v>637950</v>
      </c>
      <c r="H168" s="66" t="s">
        <v>61</v>
      </c>
    </row>
    <row r="169" spans="1:8" ht="15" customHeight="1" x14ac:dyDescent="0.25">
      <c r="A169" s="71" t="s">
        <v>631</v>
      </c>
      <c r="B169" s="88" t="s">
        <v>503</v>
      </c>
      <c r="C169" s="66">
        <v>1315</v>
      </c>
      <c r="D169" s="85" t="s">
        <v>205</v>
      </c>
      <c r="E169" s="86" t="s">
        <v>693</v>
      </c>
      <c r="F169" s="86" t="s">
        <v>694</v>
      </c>
      <c r="G169" s="87">
        <f>_xlfn.XLOOKUP(B169,Sheet1!A:A,Sheet1!C:C)</f>
        <v>505580</v>
      </c>
      <c r="H169" s="66" t="s">
        <v>61</v>
      </c>
    </row>
    <row r="170" spans="1:8" ht="15" customHeight="1" x14ac:dyDescent="0.25">
      <c r="A170" s="71" t="s">
        <v>31</v>
      </c>
      <c r="B170" s="88" t="s">
        <v>505</v>
      </c>
      <c r="C170" s="66">
        <v>1328</v>
      </c>
      <c r="D170" s="85" t="s">
        <v>205</v>
      </c>
      <c r="E170" s="86" t="s">
        <v>693</v>
      </c>
      <c r="F170" s="86" t="s">
        <v>694</v>
      </c>
      <c r="G170" s="87">
        <f>_xlfn.XLOOKUP(B170,Sheet1!A:A,Sheet1!C:C)</f>
        <v>309880</v>
      </c>
      <c r="H170" s="66" t="s">
        <v>61</v>
      </c>
    </row>
    <row r="171" spans="1:8" ht="15" customHeight="1" x14ac:dyDescent="0.25">
      <c r="A171" s="71" t="s">
        <v>31</v>
      </c>
      <c r="B171" s="88" t="s">
        <v>506</v>
      </c>
      <c r="C171" s="66">
        <v>1328</v>
      </c>
      <c r="D171" s="85" t="s">
        <v>205</v>
      </c>
      <c r="E171" s="86" t="s">
        <v>693</v>
      </c>
      <c r="F171" s="86" t="s">
        <v>694</v>
      </c>
      <c r="G171" s="87">
        <f>_xlfn.XLOOKUP(B171,Sheet1!A:A,Sheet1!C:C)</f>
        <v>484400</v>
      </c>
      <c r="H171" s="66" t="s">
        <v>61</v>
      </c>
    </row>
    <row r="172" spans="1:8" ht="15" customHeight="1" x14ac:dyDescent="0.25">
      <c r="A172" s="71" t="s">
        <v>31</v>
      </c>
      <c r="B172" s="88" t="s">
        <v>507</v>
      </c>
      <c r="C172" s="66">
        <v>1328</v>
      </c>
      <c r="D172" s="85" t="s">
        <v>205</v>
      </c>
      <c r="E172" s="86" t="s">
        <v>693</v>
      </c>
      <c r="F172" s="86" t="s">
        <v>694</v>
      </c>
      <c r="G172" s="87">
        <f>_xlfn.XLOOKUP(B172,Sheet1!A:A,Sheet1!C:C)</f>
        <v>576820</v>
      </c>
      <c r="H172" s="66" t="s">
        <v>61</v>
      </c>
    </row>
    <row r="173" spans="1:8" ht="15" customHeight="1" x14ac:dyDescent="0.25">
      <c r="A173" s="71" t="s">
        <v>942</v>
      </c>
      <c r="B173" s="88" t="s">
        <v>508</v>
      </c>
      <c r="C173" s="66">
        <v>1328</v>
      </c>
      <c r="D173" s="85" t="s">
        <v>205</v>
      </c>
      <c r="E173" s="86" t="s">
        <v>693</v>
      </c>
      <c r="F173" s="86" t="s">
        <v>694</v>
      </c>
      <c r="G173" s="87">
        <f>_xlfn.XLOOKUP(B173,Sheet1!A:A,Sheet1!C:C)</f>
        <v>666660</v>
      </c>
      <c r="H173" s="66" t="s">
        <v>61</v>
      </c>
    </row>
    <row r="174" spans="1:8" ht="15" customHeight="1" x14ac:dyDescent="0.25">
      <c r="A174" s="71" t="s">
        <v>632</v>
      </c>
      <c r="B174" s="88" t="s">
        <v>509</v>
      </c>
      <c r="C174" s="66">
        <v>1328</v>
      </c>
      <c r="D174" s="85" t="s">
        <v>205</v>
      </c>
      <c r="E174" s="86" t="s">
        <v>693</v>
      </c>
      <c r="F174" s="86" t="s">
        <v>694</v>
      </c>
      <c r="G174" s="87">
        <f>_xlfn.XLOOKUP(B174,Sheet1!A:A,Sheet1!C:C)</f>
        <v>396960</v>
      </c>
      <c r="H174" s="66" t="s">
        <v>61</v>
      </c>
    </row>
    <row r="175" spans="1:8" ht="15" customHeight="1" x14ac:dyDescent="0.25">
      <c r="A175" s="71" t="s">
        <v>633</v>
      </c>
      <c r="B175" s="88" t="s">
        <v>510</v>
      </c>
      <c r="C175" s="66">
        <v>1328</v>
      </c>
      <c r="D175" s="85" t="s">
        <v>205</v>
      </c>
      <c r="E175" s="86" t="s">
        <v>693</v>
      </c>
      <c r="F175" s="86" t="s">
        <v>694</v>
      </c>
      <c r="G175" s="87">
        <f>_xlfn.XLOOKUP(B175,Sheet1!A:A,Sheet1!C:C)</f>
        <v>736410</v>
      </c>
      <c r="H175" s="66" t="s">
        <v>61</v>
      </c>
    </row>
    <row r="176" spans="1:8" ht="15" customHeight="1" x14ac:dyDescent="0.25">
      <c r="A176" s="71" t="s">
        <v>634</v>
      </c>
      <c r="B176" s="88" t="s">
        <v>512</v>
      </c>
      <c r="C176" s="66">
        <v>1319</v>
      </c>
      <c r="D176" s="85" t="s">
        <v>205</v>
      </c>
      <c r="E176" s="86" t="s">
        <v>693</v>
      </c>
      <c r="F176" s="86" t="s">
        <v>694</v>
      </c>
      <c r="G176" s="87">
        <f>_xlfn.XLOOKUP(B176,Sheet1!A:A,Sheet1!C:C)</f>
        <v>615960</v>
      </c>
      <c r="H176" s="66" t="s">
        <v>61</v>
      </c>
    </row>
    <row r="177" spans="1:8" ht="15" customHeight="1" x14ac:dyDescent="0.25">
      <c r="A177" s="71" t="s">
        <v>635</v>
      </c>
      <c r="B177" s="88" t="s">
        <v>513</v>
      </c>
      <c r="C177" s="66">
        <v>1319</v>
      </c>
      <c r="D177" s="85" t="s">
        <v>205</v>
      </c>
      <c r="E177" s="86" t="s">
        <v>693</v>
      </c>
      <c r="F177" s="86" t="s">
        <v>694</v>
      </c>
      <c r="G177" s="87">
        <f>_xlfn.XLOOKUP(B177,Sheet1!A:A,Sheet1!C:C)</f>
        <v>555470</v>
      </c>
      <c r="H177" s="66" t="s">
        <v>61</v>
      </c>
    </row>
    <row r="178" spans="1:8" ht="15" customHeight="1" x14ac:dyDescent="0.25">
      <c r="A178" s="71" t="s">
        <v>636</v>
      </c>
      <c r="B178" s="88" t="s">
        <v>514</v>
      </c>
      <c r="C178" s="66">
        <v>1319</v>
      </c>
      <c r="D178" s="85" t="s">
        <v>205</v>
      </c>
      <c r="E178" s="86" t="s">
        <v>693</v>
      </c>
      <c r="F178" s="86" t="s">
        <v>694</v>
      </c>
      <c r="G178" s="87">
        <f>_xlfn.XLOOKUP(B178,Sheet1!A:A,Sheet1!C:C)</f>
        <v>703560</v>
      </c>
      <c r="H178" s="66" t="s">
        <v>61</v>
      </c>
    </row>
    <row r="179" spans="1:8" ht="15" customHeight="1" x14ac:dyDescent="0.25">
      <c r="A179" s="71" t="s">
        <v>31</v>
      </c>
      <c r="B179" s="88" t="s">
        <v>515</v>
      </c>
      <c r="C179" s="66">
        <v>1319</v>
      </c>
      <c r="D179" s="85" t="s">
        <v>205</v>
      </c>
      <c r="E179" s="86" t="s">
        <v>693</v>
      </c>
      <c r="F179" s="86" t="s">
        <v>694</v>
      </c>
      <c r="G179" s="87">
        <f>_xlfn.XLOOKUP(B179,Sheet1!A:A,Sheet1!C:C)</f>
        <v>499780</v>
      </c>
      <c r="H179" s="66" t="s">
        <v>61</v>
      </c>
    </row>
    <row r="180" spans="1:8" ht="15" customHeight="1" x14ac:dyDescent="0.25">
      <c r="A180" s="71" t="s">
        <v>637</v>
      </c>
      <c r="B180" s="88" t="s">
        <v>516</v>
      </c>
      <c r="C180" s="66">
        <v>1319</v>
      </c>
      <c r="D180" s="85" t="s">
        <v>205</v>
      </c>
      <c r="E180" s="86" t="s">
        <v>693</v>
      </c>
      <c r="F180" s="86" t="s">
        <v>694</v>
      </c>
      <c r="G180" s="87">
        <f>_xlfn.XLOOKUP(B180,Sheet1!A:A,Sheet1!C:C)</f>
        <v>851270</v>
      </c>
      <c r="H180" s="66" t="s">
        <v>61</v>
      </c>
    </row>
    <row r="181" spans="1:8" ht="15" customHeight="1" x14ac:dyDescent="0.25">
      <c r="A181" s="71" t="s">
        <v>638</v>
      </c>
      <c r="B181" s="88" t="s">
        <v>518</v>
      </c>
      <c r="C181" s="66">
        <v>1318</v>
      </c>
      <c r="D181" s="85" t="s">
        <v>205</v>
      </c>
      <c r="E181" s="86" t="s">
        <v>693</v>
      </c>
      <c r="F181" s="86" t="s">
        <v>694</v>
      </c>
      <c r="G181" s="87">
        <f>_xlfn.XLOOKUP(B181,Sheet1!A:A,Sheet1!C:C)</f>
        <v>853470</v>
      </c>
      <c r="H181" s="66" t="s">
        <v>61</v>
      </c>
    </row>
    <row r="182" spans="1:8" ht="15" customHeight="1" x14ac:dyDescent="0.25">
      <c r="A182" s="71" t="s">
        <v>639</v>
      </c>
      <c r="B182" s="88" t="s">
        <v>519</v>
      </c>
      <c r="C182" s="66">
        <v>1318</v>
      </c>
      <c r="D182" s="85" t="s">
        <v>205</v>
      </c>
      <c r="E182" s="86" t="s">
        <v>693</v>
      </c>
      <c r="F182" s="86" t="s">
        <v>694</v>
      </c>
      <c r="G182" s="87">
        <f>_xlfn.XLOOKUP(B182,Sheet1!A:A,Sheet1!C:C)</f>
        <v>538130</v>
      </c>
      <c r="H182" s="66" t="s">
        <v>61</v>
      </c>
    </row>
    <row r="183" spans="1:8" ht="15" customHeight="1" x14ac:dyDescent="0.25">
      <c r="A183" s="71" t="s">
        <v>717</v>
      </c>
      <c r="B183" s="88" t="s">
        <v>520</v>
      </c>
      <c r="C183" s="66">
        <v>1318</v>
      </c>
      <c r="D183" s="85" t="s">
        <v>205</v>
      </c>
      <c r="E183" s="86" t="s">
        <v>693</v>
      </c>
      <c r="F183" s="86" t="s">
        <v>694</v>
      </c>
      <c r="G183" s="87">
        <f>_xlfn.XLOOKUP(B183,Sheet1!A:A,Sheet1!C:C)</f>
        <v>744480</v>
      </c>
      <c r="H183" s="66" t="s">
        <v>61</v>
      </c>
    </row>
    <row r="184" spans="1:8" ht="15" customHeight="1" x14ac:dyDescent="0.25">
      <c r="A184" s="71" t="s">
        <v>31</v>
      </c>
      <c r="B184" s="88" t="s">
        <v>521</v>
      </c>
      <c r="C184" s="66">
        <v>1318</v>
      </c>
      <c r="D184" s="85" t="s">
        <v>205</v>
      </c>
      <c r="E184" s="86" t="s">
        <v>693</v>
      </c>
      <c r="F184" s="86" t="s">
        <v>694</v>
      </c>
      <c r="G184" s="87">
        <f>_xlfn.XLOOKUP(B184,Sheet1!A:A,Sheet1!C:C)</f>
        <v>636000</v>
      </c>
      <c r="H184" s="66" t="s">
        <v>61</v>
      </c>
    </row>
    <row r="185" spans="1:8" ht="15" customHeight="1" x14ac:dyDescent="0.25">
      <c r="A185" s="71" t="s">
        <v>31</v>
      </c>
      <c r="B185" s="88" t="s">
        <v>522</v>
      </c>
      <c r="C185" s="66">
        <v>1318</v>
      </c>
      <c r="D185" s="85" t="s">
        <v>205</v>
      </c>
      <c r="E185" s="86" t="s">
        <v>693</v>
      </c>
      <c r="F185" s="86" t="s">
        <v>694</v>
      </c>
      <c r="G185" s="87">
        <f>_xlfn.XLOOKUP(B185,Sheet1!A:A,Sheet1!C:C)</f>
        <v>662070</v>
      </c>
      <c r="H185" s="66" t="s">
        <v>61</v>
      </c>
    </row>
    <row r="186" spans="1:8" ht="15" customHeight="1" x14ac:dyDescent="0.25">
      <c r="A186" s="71" t="s">
        <v>723</v>
      </c>
      <c r="B186" s="88" t="s">
        <v>718</v>
      </c>
      <c r="C186" s="66">
        <v>1318</v>
      </c>
      <c r="D186" s="85" t="s">
        <v>205</v>
      </c>
      <c r="E186" s="86" t="s">
        <v>693</v>
      </c>
      <c r="F186" s="86" t="s">
        <v>694</v>
      </c>
      <c r="G186" s="87">
        <f>_xlfn.XLOOKUP(B186,Sheet1!A:A,Sheet1!C:C)</f>
        <v>581640</v>
      </c>
      <c r="H186" s="66" t="s">
        <v>61</v>
      </c>
    </row>
    <row r="187" spans="1:8" ht="15" customHeight="1" x14ac:dyDescent="0.25">
      <c r="A187" s="71" t="s">
        <v>31</v>
      </c>
      <c r="B187" s="88" t="s">
        <v>719</v>
      </c>
      <c r="C187" s="66">
        <v>1318</v>
      </c>
      <c r="D187" s="85" t="s">
        <v>205</v>
      </c>
      <c r="E187" s="86" t="s">
        <v>693</v>
      </c>
      <c r="F187" s="86" t="s">
        <v>694</v>
      </c>
      <c r="G187" s="87">
        <f>_xlfn.XLOOKUP(B187,Sheet1!A:A,Sheet1!C:C)</f>
        <v>722620</v>
      </c>
      <c r="H187" s="66" t="s">
        <v>61</v>
      </c>
    </row>
    <row r="188" spans="1:8" ht="15" customHeight="1" x14ac:dyDescent="0.25">
      <c r="A188" s="71" t="s">
        <v>31</v>
      </c>
      <c r="B188" s="88" t="s">
        <v>720</v>
      </c>
      <c r="C188" s="66">
        <v>1318</v>
      </c>
      <c r="D188" s="85" t="s">
        <v>205</v>
      </c>
      <c r="E188" s="86" t="s">
        <v>693</v>
      </c>
      <c r="F188" s="86" t="s">
        <v>694</v>
      </c>
      <c r="G188" s="87">
        <f>_xlfn.XLOOKUP(B188,Sheet1!A:A,Sheet1!C:C)</f>
        <v>494340</v>
      </c>
      <c r="H188" s="66" t="s">
        <v>61</v>
      </c>
    </row>
    <row r="189" spans="1:8" ht="15" customHeight="1" x14ac:dyDescent="0.25">
      <c r="A189" s="71" t="s">
        <v>31</v>
      </c>
      <c r="B189" s="88" t="s">
        <v>721</v>
      </c>
      <c r="C189" s="66">
        <v>1318</v>
      </c>
      <c r="D189" s="85" t="s">
        <v>205</v>
      </c>
      <c r="E189" s="86" t="s">
        <v>693</v>
      </c>
      <c r="F189" s="86" t="s">
        <v>694</v>
      </c>
      <c r="G189" s="87">
        <f>_xlfn.XLOOKUP(B189,Sheet1!A:A,Sheet1!C:C)</f>
        <v>656880</v>
      </c>
      <c r="H189" s="66" t="s">
        <v>61</v>
      </c>
    </row>
    <row r="190" spans="1:8" ht="15" customHeight="1" x14ac:dyDescent="0.25">
      <c r="A190" s="71" t="s">
        <v>31</v>
      </c>
      <c r="B190" s="88" t="s">
        <v>722</v>
      </c>
      <c r="C190" s="66">
        <v>1318</v>
      </c>
      <c r="D190" s="85" t="s">
        <v>205</v>
      </c>
      <c r="E190" s="86" t="s">
        <v>693</v>
      </c>
      <c r="F190" s="86" t="s">
        <v>694</v>
      </c>
      <c r="G190" s="87">
        <f>_xlfn.XLOOKUP(B190,Sheet1!A:A,Sheet1!C:C)</f>
        <v>668320</v>
      </c>
      <c r="H190" s="66" t="s">
        <v>61</v>
      </c>
    </row>
    <row r="191" spans="1:8" ht="15" customHeight="1" x14ac:dyDescent="0.25">
      <c r="A191" s="71" t="s">
        <v>31</v>
      </c>
      <c r="B191" s="88" t="s">
        <v>678</v>
      </c>
      <c r="C191" s="66">
        <v>1315</v>
      </c>
      <c r="D191" s="85" t="s">
        <v>205</v>
      </c>
      <c r="E191" s="86" t="s">
        <v>693</v>
      </c>
      <c r="F191" s="86" t="s">
        <v>694</v>
      </c>
      <c r="G191" s="87">
        <f>_xlfn.XLOOKUP(B191,Sheet1!A:A,Sheet1!C:C)</f>
        <v>15700</v>
      </c>
      <c r="H191" s="66" t="s">
        <v>61</v>
      </c>
    </row>
    <row r="192" spans="1:8" ht="15" customHeight="1" x14ac:dyDescent="0.25">
      <c r="A192" s="71" t="s">
        <v>641</v>
      </c>
      <c r="B192" s="88" t="s">
        <v>525</v>
      </c>
      <c r="C192" s="66">
        <v>1332</v>
      </c>
      <c r="D192" s="85" t="s">
        <v>205</v>
      </c>
      <c r="E192" s="86" t="s">
        <v>693</v>
      </c>
      <c r="F192" s="86" t="s">
        <v>694</v>
      </c>
      <c r="G192" s="87">
        <f>_xlfn.XLOOKUP(B192,Sheet1!A:A,Sheet1!C:C)</f>
        <v>835310</v>
      </c>
      <c r="H192" s="66" t="s">
        <v>61</v>
      </c>
    </row>
    <row r="193" spans="1:8" ht="15" customHeight="1" x14ac:dyDescent="0.25">
      <c r="A193" s="71" t="s">
        <v>642</v>
      </c>
      <c r="B193" s="88" t="s">
        <v>526</v>
      </c>
      <c r="C193" s="66">
        <v>1332</v>
      </c>
      <c r="D193" s="85" t="s">
        <v>205</v>
      </c>
      <c r="E193" s="86" t="s">
        <v>693</v>
      </c>
      <c r="F193" s="86" t="s">
        <v>694</v>
      </c>
      <c r="G193" s="87">
        <f>_xlfn.XLOOKUP(B193,Sheet1!A:A,Sheet1!C:C)</f>
        <v>780910</v>
      </c>
      <c r="H193" s="66" t="s">
        <v>61</v>
      </c>
    </row>
    <row r="194" spans="1:8" ht="15" customHeight="1" x14ac:dyDescent="0.25">
      <c r="A194" s="71" t="s">
        <v>643</v>
      </c>
      <c r="B194" s="88" t="s">
        <v>527</v>
      </c>
      <c r="C194" s="66">
        <v>1332</v>
      </c>
      <c r="D194" s="85" t="s">
        <v>205</v>
      </c>
      <c r="E194" s="86" t="s">
        <v>693</v>
      </c>
      <c r="F194" s="86" t="s">
        <v>694</v>
      </c>
      <c r="G194" s="87">
        <f>_xlfn.XLOOKUP(B194,Sheet1!A:A,Sheet1!C:C)</f>
        <v>614150</v>
      </c>
      <c r="H194" s="66" t="s">
        <v>61</v>
      </c>
    </row>
    <row r="195" spans="1:8" ht="15" customHeight="1" x14ac:dyDescent="0.25">
      <c r="A195" s="71" t="s">
        <v>644</v>
      </c>
      <c r="B195" s="88" t="s">
        <v>528</v>
      </c>
      <c r="C195" s="66">
        <v>1332</v>
      </c>
      <c r="D195" s="85" t="s">
        <v>205</v>
      </c>
      <c r="E195" s="86" t="s">
        <v>693</v>
      </c>
      <c r="F195" s="86" t="s">
        <v>694</v>
      </c>
      <c r="G195" s="87">
        <f>_xlfn.XLOOKUP(B195,Sheet1!A:A,Sheet1!C:C)</f>
        <v>646240</v>
      </c>
      <c r="H195" s="66" t="s">
        <v>61</v>
      </c>
    </row>
    <row r="196" spans="1:8" ht="15" customHeight="1" x14ac:dyDescent="0.25">
      <c r="A196" s="71" t="s">
        <v>31</v>
      </c>
      <c r="B196" s="88" t="s">
        <v>724</v>
      </c>
      <c r="C196" s="66">
        <v>1332</v>
      </c>
      <c r="D196" s="85" t="s">
        <v>205</v>
      </c>
      <c r="E196" s="86" t="s">
        <v>693</v>
      </c>
      <c r="F196" s="86" t="s">
        <v>694</v>
      </c>
      <c r="G196" s="87">
        <f>_xlfn.XLOOKUP(B196,Sheet1!A:A,Sheet1!C:C)</f>
        <v>527230</v>
      </c>
      <c r="H196" s="66" t="s">
        <v>61</v>
      </c>
    </row>
    <row r="197" spans="1:8" ht="15" customHeight="1" x14ac:dyDescent="0.25">
      <c r="A197" s="71" t="s">
        <v>31</v>
      </c>
      <c r="B197" s="88" t="s">
        <v>725</v>
      </c>
      <c r="C197" s="66">
        <v>1332</v>
      </c>
      <c r="D197" s="85" t="s">
        <v>205</v>
      </c>
      <c r="E197" s="86" t="s">
        <v>693</v>
      </c>
      <c r="F197" s="86" t="s">
        <v>694</v>
      </c>
      <c r="G197" s="87">
        <f>_xlfn.XLOOKUP(B197,Sheet1!A:A,Sheet1!C:C)</f>
        <v>958820</v>
      </c>
      <c r="H197" s="66" t="s">
        <v>61</v>
      </c>
    </row>
    <row r="198" spans="1:8" ht="15" customHeight="1" x14ac:dyDescent="0.25">
      <c r="A198" s="71" t="s">
        <v>31</v>
      </c>
      <c r="B198" s="88" t="s">
        <v>533</v>
      </c>
      <c r="C198" s="66">
        <v>1317</v>
      </c>
      <c r="D198" s="85" t="s">
        <v>205</v>
      </c>
      <c r="E198" s="86" t="s">
        <v>693</v>
      </c>
      <c r="F198" s="86" t="s">
        <v>694</v>
      </c>
      <c r="G198" s="87">
        <f>_xlfn.XLOOKUP(B198,Sheet1!A:A,Sheet1!C:C)</f>
        <v>616390</v>
      </c>
      <c r="H198" s="66" t="s">
        <v>61</v>
      </c>
    </row>
    <row r="199" spans="1:8" ht="15" customHeight="1" x14ac:dyDescent="0.25">
      <c r="A199" s="71" t="s">
        <v>648</v>
      </c>
      <c r="B199" s="88" t="s">
        <v>534</v>
      </c>
      <c r="C199" s="66">
        <v>1317</v>
      </c>
      <c r="D199" s="85" t="s">
        <v>205</v>
      </c>
      <c r="E199" s="86" t="s">
        <v>693</v>
      </c>
      <c r="F199" s="86" t="s">
        <v>694</v>
      </c>
      <c r="G199" s="87">
        <f>_xlfn.XLOOKUP(B199,Sheet1!A:A,Sheet1!C:C)</f>
        <v>652500</v>
      </c>
      <c r="H199" s="66" t="s">
        <v>61</v>
      </c>
    </row>
    <row r="200" spans="1:8" ht="15" customHeight="1" x14ac:dyDescent="0.25">
      <c r="A200" s="71" t="s">
        <v>649</v>
      </c>
      <c r="B200" s="88" t="s">
        <v>535</v>
      </c>
      <c r="C200" s="66">
        <v>1317</v>
      </c>
      <c r="D200" s="85" t="s">
        <v>205</v>
      </c>
      <c r="E200" s="86" t="s">
        <v>693</v>
      </c>
      <c r="F200" s="86" t="s">
        <v>694</v>
      </c>
      <c r="G200" s="87">
        <f>_xlfn.XLOOKUP(B200,Sheet1!A:A,Sheet1!C:C)</f>
        <v>1016510</v>
      </c>
      <c r="H200" s="66" t="s">
        <v>61</v>
      </c>
    </row>
    <row r="201" spans="1:8" ht="15" customHeight="1" x14ac:dyDescent="0.25">
      <c r="A201" s="71" t="s">
        <v>647</v>
      </c>
      <c r="B201" s="88" t="s">
        <v>532</v>
      </c>
      <c r="C201" s="66">
        <v>1317</v>
      </c>
      <c r="D201" s="85" t="s">
        <v>205</v>
      </c>
      <c r="E201" s="86" t="s">
        <v>693</v>
      </c>
      <c r="F201" s="86" t="s">
        <v>694</v>
      </c>
      <c r="G201" s="87">
        <f>_xlfn.XLOOKUP(B201,Sheet1!A:A,Sheet1!C:C)</f>
        <v>803270</v>
      </c>
      <c r="H201" s="66" t="s">
        <v>61</v>
      </c>
    </row>
    <row r="202" spans="1:8" ht="15" customHeight="1" x14ac:dyDescent="0.25">
      <c r="A202" s="71" t="s">
        <v>31</v>
      </c>
      <c r="B202" s="88" t="s">
        <v>726</v>
      </c>
      <c r="C202" s="66">
        <v>1317</v>
      </c>
      <c r="D202" s="85" t="s">
        <v>205</v>
      </c>
      <c r="E202" s="86" t="s">
        <v>693</v>
      </c>
      <c r="F202" s="86" t="s">
        <v>694</v>
      </c>
      <c r="G202" s="87">
        <f>_xlfn.XLOOKUP(B202,Sheet1!A:A,Sheet1!C:C)</f>
        <v>919580</v>
      </c>
      <c r="H202" s="66" t="s">
        <v>61</v>
      </c>
    </row>
    <row r="203" spans="1:8" ht="15" customHeight="1" x14ac:dyDescent="0.25">
      <c r="A203" s="71" t="s">
        <v>31</v>
      </c>
      <c r="B203" s="88" t="s">
        <v>727</v>
      </c>
      <c r="C203" s="66">
        <v>1317</v>
      </c>
      <c r="D203" s="85" t="s">
        <v>205</v>
      </c>
      <c r="E203" s="86" t="s">
        <v>693</v>
      </c>
      <c r="F203" s="86" t="s">
        <v>694</v>
      </c>
      <c r="G203" s="87">
        <f>_xlfn.XLOOKUP(B203,Sheet1!A:A,Sheet1!C:C)</f>
        <v>581570</v>
      </c>
      <c r="H203" s="66" t="s">
        <v>61</v>
      </c>
    </row>
    <row r="204" spans="1:8" ht="15" customHeight="1" x14ac:dyDescent="0.25">
      <c r="A204" s="71" t="s">
        <v>688</v>
      </c>
      <c r="B204" s="88" t="s">
        <v>728</v>
      </c>
      <c r="C204" s="66">
        <v>1317</v>
      </c>
      <c r="D204" s="85" t="s">
        <v>205</v>
      </c>
      <c r="E204" s="86" t="s">
        <v>693</v>
      </c>
      <c r="F204" s="86" t="s">
        <v>694</v>
      </c>
      <c r="G204" s="87">
        <f>_xlfn.XLOOKUP(B204,Sheet1!A:A,Sheet1!C:C)</f>
        <v>1161690</v>
      </c>
      <c r="H204" s="66" t="s">
        <v>61</v>
      </c>
    </row>
    <row r="205" spans="1:8" ht="15" customHeight="1" x14ac:dyDescent="0.25">
      <c r="A205" s="71" t="s">
        <v>31</v>
      </c>
      <c r="B205" s="88" t="s">
        <v>729</v>
      </c>
      <c r="C205" s="66">
        <v>1317</v>
      </c>
      <c r="D205" s="85" t="s">
        <v>205</v>
      </c>
      <c r="E205" s="86" t="s">
        <v>693</v>
      </c>
      <c r="F205" s="86" t="s">
        <v>694</v>
      </c>
      <c r="G205" s="87">
        <f>_xlfn.XLOOKUP(B205,Sheet1!A:A,Sheet1!C:C)</f>
        <v>978950</v>
      </c>
      <c r="H205" s="66" t="s">
        <v>61</v>
      </c>
    </row>
    <row r="206" spans="1:8" ht="15" customHeight="1" x14ac:dyDescent="0.25">
      <c r="A206" s="71" t="s">
        <v>645</v>
      </c>
      <c r="B206" s="88" t="s">
        <v>530</v>
      </c>
      <c r="C206" s="66">
        <v>1331</v>
      </c>
      <c r="D206" s="85" t="s">
        <v>205</v>
      </c>
      <c r="E206" s="86" t="s">
        <v>693</v>
      </c>
      <c r="F206" s="86" t="s">
        <v>694</v>
      </c>
      <c r="G206" s="87">
        <f>_xlfn.XLOOKUP(B206,Sheet1!A:A,Sheet1!C:C)</f>
        <v>1161490</v>
      </c>
      <c r="H206" s="66" t="s">
        <v>61</v>
      </c>
    </row>
    <row r="207" spans="1:8" ht="15" customHeight="1" x14ac:dyDescent="0.25">
      <c r="A207" s="71" t="s">
        <v>646</v>
      </c>
      <c r="B207" s="88" t="s">
        <v>531</v>
      </c>
      <c r="C207" s="66">
        <v>1331</v>
      </c>
      <c r="D207" s="85" t="s">
        <v>205</v>
      </c>
      <c r="E207" s="86" t="s">
        <v>693</v>
      </c>
      <c r="F207" s="86" t="s">
        <v>694</v>
      </c>
      <c r="G207" s="87">
        <f>_xlfn.XLOOKUP(B207,Sheet1!A:A,Sheet1!C:C)</f>
        <v>1148340</v>
      </c>
      <c r="H207" s="66" t="s">
        <v>61</v>
      </c>
    </row>
    <row r="208" spans="1:8" ht="15" customHeight="1" x14ac:dyDescent="0.25">
      <c r="A208" s="71" t="s">
        <v>31</v>
      </c>
      <c r="B208" s="88" t="s">
        <v>730</v>
      </c>
      <c r="C208" s="66">
        <v>1331</v>
      </c>
      <c r="D208" s="85" t="s">
        <v>205</v>
      </c>
      <c r="E208" s="86" t="s">
        <v>693</v>
      </c>
      <c r="F208" s="86" t="s">
        <v>694</v>
      </c>
      <c r="G208" s="87">
        <f>_xlfn.XLOOKUP(B208,Sheet1!A:A,Sheet1!C:C)</f>
        <v>842520</v>
      </c>
      <c r="H208" s="66" t="s">
        <v>61</v>
      </c>
    </row>
    <row r="209" spans="1:8" ht="15" customHeight="1" x14ac:dyDescent="0.25">
      <c r="A209" s="71" t="s">
        <v>650</v>
      </c>
      <c r="B209" s="88" t="s">
        <v>537</v>
      </c>
      <c r="C209" s="66">
        <v>1333</v>
      </c>
      <c r="D209" s="85" t="s">
        <v>205</v>
      </c>
      <c r="E209" s="86" t="s">
        <v>693</v>
      </c>
      <c r="F209" s="86" t="s">
        <v>694</v>
      </c>
      <c r="G209" s="87">
        <f>_xlfn.XLOOKUP(B209,Sheet1!A:A,Sheet1!C:C)</f>
        <v>474680</v>
      </c>
      <c r="H209" s="66" t="s">
        <v>61</v>
      </c>
    </row>
    <row r="210" spans="1:8" ht="15" customHeight="1" x14ac:dyDescent="0.25">
      <c r="A210" s="71" t="s">
        <v>651</v>
      </c>
      <c r="B210" s="88" t="s">
        <v>538</v>
      </c>
      <c r="C210" s="66">
        <v>1333</v>
      </c>
      <c r="D210" s="85" t="s">
        <v>205</v>
      </c>
      <c r="E210" s="86" t="s">
        <v>693</v>
      </c>
      <c r="F210" s="86" t="s">
        <v>694</v>
      </c>
      <c r="G210" s="87">
        <f>_xlfn.XLOOKUP(B210,Sheet1!A:A,Sheet1!C:C)</f>
        <v>588620</v>
      </c>
      <c r="H210" s="66" t="s">
        <v>61</v>
      </c>
    </row>
    <row r="211" spans="1:8" ht="15" customHeight="1" x14ac:dyDescent="0.25">
      <c r="A211" s="71" t="s">
        <v>652</v>
      </c>
      <c r="B211" s="88" t="s">
        <v>539</v>
      </c>
      <c r="C211" s="66">
        <v>1333</v>
      </c>
      <c r="D211" s="85" t="s">
        <v>205</v>
      </c>
      <c r="E211" s="86" t="s">
        <v>693</v>
      </c>
      <c r="F211" s="86" t="s">
        <v>694</v>
      </c>
      <c r="G211" s="87">
        <f>_xlfn.XLOOKUP(B211,Sheet1!A:A,Sheet1!C:C)</f>
        <v>487800</v>
      </c>
      <c r="H211" s="66" t="s">
        <v>61</v>
      </c>
    </row>
    <row r="212" spans="1:8" ht="15" customHeight="1" x14ac:dyDescent="0.25">
      <c r="A212" s="71" t="s">
        <v>653</v>
      </c>
      <c r="B212" s="88" t="s">
        <v>540</v>
      </c>
      <c r="C212" s="66">
        <v>1333</v>
      </c>
      <c r="D212" s="85" t="s">
        <v>205</v>
      </c>
      <c r="E212" s="86" t="s">
        <v>693</v>
      </c>
      <c r="F212" s="86" t="s">
        <v>694</v>
      </c>
      <c r="G212" s="87">
        <f>_xlfn.XLOOKUP(B212,Sheet1!A:A,Sheet1!C:C)</f>
        <v>410000</v>
      </c>
      <c r="H212" s="66" t="s">
        <v>61</v>
      </c>
    </row>
    <row r="213" spans="1:8" ht="15" customHeight="1" x14ac:dyDescent="0.25">
      <c r="A213" s="71" t="s">
        <v>731</v>
      </c>
      <c r="B213" s="88" t="s">
        <v>541</v>
      </c>
      <c r="C213" s="66">
        <v>1333</v>
      </c>
      <c r="D213" s="85" t="s">
        <v>205</v>
      </c>
      <c r="E213" s="86" t="s">
        <v>693</v>
      </c>
      <c r="F213" s="86" t="s">
        <v>694</v>
      </c>
      <c r="G213" s="87">
        <f>_xlfn.XLOOKUP(B213,Sheet1!A:A,Sheet1!C:C)</f>
        <v>567760</v>
      </c>
      <c r="H213" s="66" t="s">
        <v>61</v>
      </c>
    </row>
    <row r="214" spans="1:8" ht="15" customHeight="1" x14ac:dyDescent="0.25">
      <c r="A214" s="71" t="s">
        <v>732</v>
      </c>
      <c r="B214" s="88" t="s">
        <v>543</v>
      </c>
      <c r="C214" s="66">
        <v>1333</v>
      </c>
      <c r="D214" s="85" t="s">
        <v>205</v>
      </c>
      <c r="E214" s="86" t="s">
        <v>693</v>
      </c>
      <c r="F214" s="86" t="s">
        <v>694</v>
      </c>
      <c r="G214" s="87">
        <f>_xlfn.XLOOKUP(B214,Sheet1!A:A,Sheet1!C:C)</f>
        <v>685470</v>
      </c>
      <c r="H214" s="66" t="s">
        <v>61</v>
      </c>
    </row>
    <row r="215" spans="1:8" ht="15" customHeight="1" x14ac:dyDescent="0.25">
      <c r="A215" s="71" t="s">
        <v>654</v>
      </c>
      <c r="B215" s="88" t="s">
        <v>544</v>
      </c>
      <c r="C215" s="66">
        <v>1316</v>
      </c>
      <c r="D215" s="85" t="s">
        <v>205</v>
      </c>
      <c r="E215" s="86" t="s">
        <v>693</v>
      </c>
      <c r="F215" s="86" t="s">
        <v>694</v>
      </c>
      <c r="G215" s="87">
        <f>_xlfn.XLOOKUP(B215,Sheet1!A:A,Sheet1!C:C)</f>
        <v>377930</v>
      </c>
      <c r="H215" s="66" t="s">
        <v>61</v>
      </c>
    </row>
    <row r="216" spans="1:8" ht="15" customHeight="1" x14ac:dyDescent="0.25">
      <c r="A216" s="71" t="s">
        <v>655</v>
      </c>
      <c r="B216" s="88" t="s">
        <v>545</v>
      </c>
      <c r="C216" s="66">
        <v>1316</v>
      </c>
      <c r="D216" s="85" t="s">
        <v>205</v>
      </c>
      <c r="E216" s="86" t="s">
        <v>693</v>
      </c>
      <c r="F216" s="86" t="s">
        <v>694</v>
      </c>
      <c r="G216" s="87">
        <f>_xlfn.XLOOKUP(B216,Sheet1!A:A,Sheet1!C:C)</f>
        <v>346940</v>
      </c>
      <c r="H216" s="66" t="s">
        <v>61</v>
      </c>
    </row>
    <row r="217" spans="1:8" ht="15" customHeight="1" x14ac:dyDescent="0.25">
      <c r="A217" s="71" t="s">
        <v>31</v>
      </c>
      <c r="B217" s="88" t="s">
        <v>546</v>
      </c>
      <c r="C217" s="66">
        <v>1316</v>
      </c>
      <c r="D217" s="85" t="s">
        <v>205</v>
      </c>
      <c r="E217" s="86" t="s">
        <v>693</v>
      </c>
      <c r="F217" s="86" t="s">
        <v>694</v>
      </c>
      <c r="G217" s="87">
        <f>_xlfn.XLOOKUP(B217,Sheet1!A:A,Sheet1!C:C)</f>
        <v>464910</v>
      </c>
      <c r="H217" s="66" t="s">
        <v>61</v>
      </c>
    </row>
    <row r="218" spans="1:8" ht="15" customHeight="1" x14ac:dyDescent="0.25">
      <c r="A218" s="71" t="s">
        <v>656</v>
      </c>
      <c r="B218" s="88" t="s">
        <v>547</v>
      </c>
      <c r="C218" s="66">
        <v>1316</v>
      </c>
      <c r="D218" s="85" t="s">
        <v>205</v>
      </c>
      <c r="E218" s="86" t="s">
        <v>693</v>
      </c>
      <c r="F218" s="86" t="s">
        <v>694</v>
      </c>
      <c r="G218" s="87">
        <f>_xlfn.XLOOKUP(B218,Sheet1!A:A,Sheet1!C:C)</f>
        <v>664970</v>
      </c>
      <c r="H218" s="66" t="s">
        <v>61</v>
      </c>
    </row>
    <row r="219" spans="1:8" ht="15" customHeight="1" x14ac:dyDescent="0.25">
      <c r="A219" s="71" t="s">
        <v>31</v>
      </c>
      <c r="B219" s="88" t="s">
        <v>549</v>
      </c>
      <c r="C219" s="66">
        <v>1316</v>
      </c>
      <c r="D219" s="85" t="s">
        <v>205</v>
      </c>
      <c r="E219" s="86" t="s">
        <v>693</v>
      </c>
      <c r="F219" s="86" t="s">
        <v>694</v>
      </c>
      <c r="G219" s="87">
        <f>_xlfn.XLOOKUP(B219,Sheet1!A:A,Sheet1!C:C)</f>
        <v>320190</v>
      </c>
      <c r="H219" s="66" t="s">
        <v>61</v>
      </c>
    </row>
    <row r="220" spans="1:8" ht="15" customHeight="1" x14ac:dyDescent="0.25">
      <c r="A220" s="71" t="s">
        <v>658</v>
      </c>
      <c r="B220" s="88" t="s">
        <v>550</v>
      </c>
      <c r="C220" s="66">
        <v>1316</v>
      </c>
      <c r="D220" s="85" t="s">
        <v>205</v>
      </c>
      <c r="E220" s="86" t="s">
        <v>693</v>
      </c>
      <c r="F220" s="86" t="s">
        <v>694</v>
      </c>
      <c r="G220" s="87">
        <f>_xlfn.XLOOKUP(B220,Sheet1!A:A,Sheet1!C:C)</f>
        <v>328620</v>
      </c>
      <c r="H220" s="66" t="s">
        <v>61</v>
      </c>
    </row>
    <row r="221" spans="1:8" ht="15" customHeight="1" x14ac:dyDescent="0.25">
      <c r="A221" s="71" t="s">
        <v>659</v>
      </c>
      <c r="B221" s="88" t="s">
        <v>551</v>
      </c>
      <c r="C221" s="66">
        <v>1316</v>
      </c>
      <c r="D221" s="85" t="s">
        <v>205</v>
      </c>
      <c r="E221" s="86" t="s">
        <v>693</v>
      </c>
      <c r="F221" s="86" t="s">
        <v>694</v>
      </c>
      <c r="G221" s="87">
        <f>_xlfn.XLOOKUP(B221,Sheet1!A:A,Sheet1!C:C)</f>
        <v>478490</v>
      </c>
      <c r="H221" s="66" t="s">
        <v>61</v>
      </c>
    </row>
    <row r="222" spans="1:8" ht="15" customHeight="1" x14ac:dyDescent="0.25">
      <c r="A222" s="71" t="s">
        <v>660</v>
      </c>
      <c r="B222" s="88" t="s">
        <v>552</v>
      </c>
      <c r="C222" s="66">
        <v>1316</v>
      </c>
      <c r="D222" s="85" t="s">
        <v>205</v>
      </c>
      <c r="E222" s="86" t="s">
        <v>693</v>
      </c>
      <c r="F222" s="86" t="s">
        <v>694</v>
      </c>
      <c r="G222" s="87">
        <f>_xlfn.XLOOKUP(B222,Sheet1!A:A,Sheet1!C:C)</f>
        <v>432160</v>
      </c>
      <c r="H222" s="66" t="s">
        <v>61</v>
      </c>
    </row>
    <row r="223" spans="1:8" ht="15" customHeight="1" x14ac:dyDescent="0.25">
      <c r="A223" s="71" t="s">
        <v>661</v>
      </c>
      <c r="B223" s="88" t="s">
        <v>553</v>
      </c>
      <c r="C223" s="66">
        <v>1316</v>
      </c>
      <c r="D223" s="85" t="s">
        <v>205</v>
      </c>
      <c r="E223" s="86" t="s">
        <v>693</v>
      </c>
      <c r="F223" s="86" t="s">
        <v>694</v>
      </c>
      <c r="G223" s="87">
        <f>_xlfn.XLOOKUP(B223,Sheet1!A:A,Sheet1!C:C)</f>
        <v>313230</v>
      </c>
      <c r="H223" s="66" t="s">
        <v>61</v>
      </c>
    </row>
    <row r="224" spans="1:8" ht="15" customHeight="1" x14ac:dyDescent="0.25">
      <c r="A224" s="71" t="s">
        <v>662</v>
      </c>
      <c r="B224" s="88" t="s">
        <v>555</v>
      </c>
      <c r="C224" s="66">
        <v>1316</v>
      </c>
      <c r="D224" s="85" t="s">
        <v>205</v>
      </c>
      <c r="E224" s="86" t="s">
        <v>693</v>
      </c>
      <c r="F224" s="86" t="s">
        <v>694</v>
      </c>
      <c r="G224" s="87">
        <f>_xlfn.XLOOKUP(B224,Sheet1!A:A,Sheet1!C:C)</f>
        <v>400250</v>
      </c>
      <c r="H224" s="66" t="s">
        <v>61</v>
      </c>
    </row>
    <row r="225" spans="1:8" ht="15" customHeight="1" x14ac:dyDescent="0.25">
      <c r="A225" s="71" t="s">
        <v>663</v>
      </c>
      <c r="B225" s="88" t="s">
        <v>556</v>
      </c>
      <c r="C225" s="66">
        <v>1316</v>
      </c>
      <c r="D225" s="85" t="s">
        <v>205</v>
      </c>
      <c r="E225" s="86" t="s">
        <v>693</v>
      </c>
      <c r="F225" s="86" t="s">
        <v>694</v>
      </c>
      <c r="G225" s="87">
        <f>_xlfn.XLOOKUP(B225,Sheet1!A:A,Sheet1!C:C)</f>
        <v>318990</v>
      </c>
      <c r="H225" s="66" t="s">
        <v>61</v>
      </c>
    </row>
    <row r="226" spans="1:8" ht="15" customHeight="1" x14ac:dyDescent="0.25">
      <c r="A226" s="71" t="s">
        <v>664</v>
      </c>
      <c r="B226" s="88" t="s">
        <v>557</v>
      </c>
      <c r="C226" s="66">
        <v>1316</v>
      </c>
      <c r="D226" s="85" t="s">
        <v>205</v>
      </c>
      <c r="E226" s="86" t="s">
        <v>693</v>
      </c>
      <c r="F226" s="86" t="s">
        <v>694</v>
      </c>
      <c r="G226" s="87">
        <f>_xlfn.XLOOKUP(B226,Sheet1!A:A,Sheet1!C:C)</f>
        <v>465010</v>
      </c>
      <c r="H226" s="66" t="s">
        <v>61</v>
      </c>
    </row>
    <row r="227" spans="1:8" ht="15" customHeight="1" x14ac:dyDescent="0.25">
      <c r="A227" s="71" t="s">
        <v>665</v>
      </c>
      <c r="B227" s="88" t="s">
        <v>558</v>
      </c>
      <c r="C227" s="66">
        <v>1316</v>
      </c>
      <c r="D227" s="85" t="s">
        <v>205</v>
      </c>
      <c r="E227" s="86" t="s">
        <v>693</v>
      </c>
      <c r="F227" s="86" t="s">
        <v>694</v>
      </c>
      <c r="G227" s="87">
        <f>_xlfn.XLOOKUP(B227,Sheet1!A:A,Sheet1!C:C)</f>
        <v>602780</v>
      </c>
      <c r="H227" s="66" t="s">
        <v>61</v>
      </c>
    </row>
    <row r="228" spans="1:8" ht="15" customHeight="1" x14ac:dyDescent="0.25">
      <c r="A228" s="71" t="s">
        <v>31</v>
      </c>
      <c r="B228" s="88" t="s">
        <v>559</v>
      </c>
      <c r="C228" s="66">
        <v>1316</v>
      </c>
      <c r="D228" s="85" t="s">
        <v>205</v>
      </c>
      <c r="E228" s="86" t="s">
        <v>693</v>
      </c>
      <c r="F228" s="86" t="s">
        <v>694</v>
      </c>
      <c r="G228" s="87">
        <f>_xlfn.XLOOKUP(B228,Sheet1!A:A,Sheet1!C:C)</f>
        <v>555810</v>
      </c>
      <c r="H228" s="66" t="s">
        <v>61</v>
      </c>
    </row>
    <row r="229" spans="1:8" ht="15" customHeight="1" x14ac:dyDescent="0.25">
      <c r="A229" s="71" t="s">
        <v>31</v>
      </c>
      <c r="B229" s="88" t="s">
        <v>689</v>
      </c>
      <c r="C229" s="66">
        <v>1317</v>
      </c>
      <c r="D229" s="85" t="s">
        <v>205</v>
      </c>
      <c r="E229" s="86" t="s">
        <v>693</v>
      </c>
      <c r="F229" s="86" t="s">
        <v>694</v>
      </c>
      <c r="G229" s="87">
        <f>_xlfn.XLOOKUP(B229,Sheet1!A:A,Sheet1!C:C)</f>
        <v>32660</v>
      </c>
      <c r="H229" s="66" t="s">
        <v>61</v>
      </c>
    </row>
    <row r="230" spans="1:8" ht="15" customHeight="1" x14ac:dyDescent="0.25">
      <c r="A230" s="71" t="s">
        <v>667</v>
      </c>
      <c r="B230" s="88" t="s">
        <v>562</v>
      </c>
      <c r="C230" s="66">
        <v>1335</v>
      </c>
      <c r="D230" s="85" t="s">
        <v>205</v>
      </c>
      <c r="E230" s="86" t="s">
        <v>693</v>
      </c>
      <c r="F230" s="86" t="s">
        <v>694</v>
      </c>
      <c r="G230" s="87">
        <f>_xlfn.XLOOKUP(B230,Sheet1!A:A,Sheet1!C:C)</f>
        <v>405430</v>
      </c>
      <c r="H230" s="66" t="s">
        <v>61</v>
      </c>
    </row>
    <row r="231" spans="1:8" ht="15" customHeight="1" x14ac:dyDescent="0.25">
      <c r="A231" s="71" t="s">
        <v>668</v>
      </c>
      <c r="B231" s="88" t="s">
        <v>563</v>
      </c>
      <c r="C231" s="66">
        <v>1335</v>
      </c>
      <c r="D231" s="85" t="s">
        <v>205</v>
      </c>
      <c r="E231" s="86" t="s">
        <v>693</v>
      </c>
      <c r="F231" s="86" t="s">
        <v>694</v>
      </c>
      <c r="G231" s="87">
        <f>_xlfn.XLOOKUP(B231,Sheet1!A:A,Sheet1!C:C)</f>
        <v>443700</v>
      </c>
      <c r="H231" s="66" t="s">
        <v>61</v>
      </c>
    </row>
    <row r="232" spans="1:8" ht="15" customHeight="1" x14ac:dyDescent="0.25">
      <c r="A232" s="71" t="s">
        <v>31</v>
      </c>
      <c r="B232" s="88" t="s">
        <v>564</v>
      </c>
      <c r="C232" s="66">
        <v>1335</v>
      </c>
      <c r="D232" s="85" t="s">
        <v>205</v>
      </c>
      <c r="E232" s="86" t="s">
        <v>693</v>
      </c>
      <c r="F232" s="86" t="s">
        <v>694</v>
      </c>
      <c r="G232" s="87">
        <f>_xlfn.XLOOKUP(B232,Sheet1!A:A,Sheet1!C:C)</f>
        <v>362700</v>
      </c>
      <c r="H232" s="66" t="s">
        <v>61</v>
      </c>
    </row>
    <row r="233" spans="1:8" ht="15" customHeight="1" x14ac:dyDescent="0.25">
      <c r="A233" s="71" t="s">
        <v>31</v>
      </c>
      <c r="B233" s="88" t="s">
        <v>733</v>
      </c>
      <c r="C233" s="66">
        <v>1335</v>
      </c>
      <c r="D233" s="85" t="s">
        <v>205</v>
      </c>
      <c r="E233" s="86" t="s">
        <v>693</v>
      </c>
      <c r="F233" s="86" t="s">
        <v>694</v>
      </c>
      <c r="G233" s="87">
        <f>_xlfn.XLOOKUP(B233,Sheet1!A:A,Sheet1!C:C)</f>
        <v>433400</v>
      </c>
      <c r="H233" s="66" t="s">
        <v>61</v>
      </c>
    </row>
    <row r="234" spans="1:8" ht="15" customHeight="1" x14ac:dyDescent="0.25">
      <c r="A234" s="71" t="s">
        <v>31</v>
      </c>
      <c r="B234" s="88" t="s">
        <v>734</v>
      </c>
      <c r="C234" s="66">
        <v>1335</v>
      </c>
      <c r="D234" s="85" t="s">
        <v>205</v>
      </c>
      <c r="E234" s="86" t="s">
        <v>693</v>
      </c>
      <c r="F234" s="86" t="s">
        <v>694</v>
      </c>
      <c r="G234" s="87">
        <f>_xlfn.XLOOKUP(B234,Sheet1!A:A,Sheet1!C:C)</f>
        <v>433400</v>
      </c>
      <c r="H234" s="66" t="s">
        <v>61</v>
      </c>
    </row>
    <row r="235" spans="1:8" ht="15" customHeight="1" x14ac:dyDescent="0.25">
      <c r="A235" s="71" t="s">
        <v>669</v>
      </c>
      <c r="B235" s="88" t="s">
        <v>565</v>
      </c>
      <c r="C235" s="66">
        <v>1330</v>
      </c>
      <c r="D235" s="85" t="s">
        <v>205</v>
      </c>
      <c r="E235" s="86" t="s">
        <v>693</v>
      </c>
      <c r="F235" s="86" t="s">
        <v>694</v>
      </c>
      <c r="G235" s="87">
        <f>_xlfn.XLOOKUP(B235,Sheet1!A:A,Sheet1!C:C)</f>
        <v>535910</v>
      </c>
      <c r="H235" s="66" t="s">
        <v>61</v>
      </c>
    </row>
    <row r="236" spans="1:8" ht="15" customHeight="1" x14ac:dyDescent="0.25">
      <c r="A236" s="71" t="s">
        <v>735</v>
      </c>
      <c r="B236" s="88" t="s">
        <v>566</v>
      </c>
      <c r="C236" s="66">
        <v>1330</v>
      </c>
      <c r="D236" s="85" t="s">
        <v>205</v>
      </c>
      <c r="E236" s="86" t="s">
        <v>693</v>
      </c>
      <c r="F236" s="86" t="s">
        <v>694</v>
      </c>
      <c r="G236" s="87">
        <f>_xlfn.XLOOKUP(B236,Sheet1!A:A,Sheet1!C:C)</f>
        <v>584610</v>
      </c>
      <c r="H236" s="66" t="s">
        <v>61</v>
      </c>
    </row>
    <row r="237" spans="1:8" ht="15" customHeight="1" x14ac:dyDescent="0.25">
      <c r="A237" s="71" t="s">
        <v>736</v>
      </c>
      <c r="B237" s="88" t="s">
        <v>567</v>
      </c>
      <c r="C237" s="66">
        <v>1330</v>
      </c>
      <c r="D237" s="85" t="s">
        <v>205</v>
      </c>
      <c r="E237" s="86" t="s">
        <v>693</v>
      </c>
      <c r="F237" s="86" t="s">
        <v>694</v>
      </c>
      <c r="G237" s="87">
        <f>_xlfn.XLOOKUP(B237,Sheet1!A:A,Sheet1!C:C)</f>
        <v>459630</v>
      </c>
      <c r="H237" s="66" t="s">
        <v>61</v>
      </c>
    </row>
    <row r="238" spans="1:8" ht="15" customHeight="1" x14ac:dyDescent="0.25">
      <c r="A238" s="71" t="s">
        <v>31</v>
      </c>
      <c r="B238" s="88" t="s">
        <v>737</v>
      </c>
      <c r="C238" s="66">
        <v>1330</v>
      </c>
      <c r="D238" s="85" t="s">
        <v>205</v>
      </c>
      <c r="E238" s="86" t="s">
        <v>693</v>
      </c>
      <c r="F238" s="86" t="s">
        <v>694</v>
      </c>
      <c r="G238" s="87">
        <f>_xlfn.XLOOKUP(B238,Sheet1!A:A,Sheet1!C:C)</f>
        <v>403760</v>
      </c>
      <c r="H238" s="66" t="s">
        <v>61</v>
      </c>
    </row>
    <row r="239" spans="1:8" ht="15" customHeight="1" x14ac:dyDescent="0.25">
      <c r="A239" s="71" t="s">
        <v>31</v>
      </c>
      <c r="B239" s="88" t="s">
        <v>738</v>
      </c>
      <c r="C239" s="66">
        <v>1330</v>
      </c>
      <c r="D239" s="85" t="s">
        <v>205</v>
      </c>
      <c r="E239" s="86" t="s">
        <v>693</v>
      </c>
      <c r="F239" s="86" t="s">
        <v>694</v>
      </c>
      <c r="G239" s="87">
        <f>_xlfn.XLOOKUP(B239,Sheet1!A:A,Sheet1!C:C)</f>
        <v>386960</v>
      </c>
      <c r="H239" s="66" t="s">
        <v>61</v>
      </c>
    </row>
    <row r="240" spans="1:8" ht="15" customHeight="1" x14ac:dyDescent="0.25">
      <c r="A240" s="71" t="s">
        <v>670</v>
      </c>
      <c r="B240" s="88" t="s">
        <v>569</v>
      </c>
      <c r="C240" s="66">
        <v>1321</v>
      </c>
      <c r="D240" s="85" t="s">
        <v>205</v>
      </c>
      <c r="E240" s="86" t="s">
        <v>693</v>
      </c>
      <c r="F240" s="86" t="s">
        <v>694</v>
      </c>
      <c r="G240" s="87">
        <f>_xlfn.XLOOKUP(B240,Sheet1!A:A,Sheet1!C:C)</f>
        <v>304550</v>
      </c>
      <c r="H240" s="66" t="s">
        <v>61</v>
      </c>
    </row>
    <row r="241" spans="1:8" ht="15" customHeight="1" x14ac:dyDescent="0.25">
      <c r="A241" s="71" t="s">
        <v>739</v>
      </c>
      <c r="B241" s="88" t="s">
        <v>570</v>
      </c>
      <c r="C241" s="66">
        <v>1321</v>
      </c>
      <c r="D241" s="85" t="s">
        <v>205</v>
      </c>
      <c r="E241" s="86" t="s">
        <v>693</v>
      </c>
      <c r="F241" s="86" t="s">
        <v>694</v>
      </c>
      <c r="G241" s="87">
        <f>_xlfn.XLOOKUP(B241,Sheet1!A:A,Sheet1!C:C)</f>
        <v>300710</v>
      </c>
      <c r="H241" s="66" t="s">
        <v>61</v>
      </c>
    </row>
    <row r="242" spans="1:8" ht="15" customHeight="1" x14ac:dyDescent="0.25">
      <c r="A242" s="71" t="s">
        <v>31</v>
      </c>
      <c r="B242" s="88" t="s">
        <v>571</v>
      </c>
      <c r="C242" s="66">
        <v>1321</v>
      </c>
      <c r="D242" s="85" t="s">
        <v>205</v>
      </c>
      <c r="E242" s="86" t="s">
        <v>693</v>
      </c>
      <c r="F242" s="86" t="s">
        <v>694</v>
      </c>
      <c r="G242" s="87">
        <f>_xlfn.XLOOKUP(B242,Sheet1!A:A,Sheet1!C:C)</f>
        <v>361220</v>
      </c>
      <c r="H242" s="66" t="s">
        <v>61</v>
      </c>
    </row>
    <row r="243" spans="1:8" ht="15" customHeight="1" x14ac:dyDescent="0.25">
      <c r="A243" s="71" t="s">
        <v>671</v>
      </c>
      <c r="B243" s="88" t="s">
        <v>572</v>
      </c>
      <c r="C243" s="66">
        <v>1321</v>
      </c>
      <c r="D243" s="85" t="s">
        <v>205</v>
      </c>
      <c r="E243" s="86" t="s">
        <v>693</v>
      </c>
      <c r="F243" s="86" t="s">
        <v>694</v>
      </c>
      <c r="G243" s="87">
        <f>_xlfn.XLOOKUP(B243,Sheet1!A:A,Sheet1!C:C)</f>
        <v>300740</v>
      </c>
      <c r="H243" s="66" t="s">
        <v>61</v>
      </c>
    </row>
    <row r="244" spans="1:8" ht="15" customHeight="1" x14ac:dyDescent="0.25">
      <c r="A244" s="71" t="s">
        <v>672</v>
      </c>
      <c r="B244" s="88" t="s">
        <v>573</v>
      </c>
      <c r="C244" s="66">
        <v>1321</v>
      </c>
      <c r="D244" s="85" t="s">
        <v>205</v>
      </c>
      <c r="E244" s="86" t="s">
        <v>693</v>
      </c>
      <c r="F244" s="86" t="s">
        <v>694</v>
      </c>
      <c r="G244" s="87">
        <f>_xlfn.XLOOKUP(B244,Sheet1!A:A,Sheet1!C:C)</f>
        <v>308310</v>
      </c>
      <c r="H244" s="66" t="s">
        <v>61</v>
      </c>
    </row>
    <row r="245" spans="1:8" ht="15" customHeight="1" x14ac:dyDescent="0.25">
      <c r="A245" s="71" t="s">
        <v>673</v>
      </c>
      <c r="B245" s="88" t="s">
        <v>575</v>
      </c>
      <c r="C245" s="66">
        <v>1321</v>
      </c>
      <c r="D245" s="85" t="s">
        <v>205</v>
      </c>
      <c r="E245" s="86" t="s">
        <v>693</v>
      </c>
      <c r="F245" s="86" t="s">
        <v>694</v>
      </c>
      <c r="G245" s="87">
        <f>_xlfn.XLOOKUP(B245,Sheet1!A:A,Sheet1!C:C)</f>
        <v>300580</v>
      </c>
      <c r="H245" s="66" t="s">
        <v>61</v>
      </c>
    </row>
    <row r="246" spans="1:8" ht="15" customHeight="1" x14ac:dyDescent="0.25">
      <c r="A246" s="71" t="s">
        <v>467</v>
      </c>
      <c r="B246" s="88" t="s">
        <v>576</v>
      </c>
      <c r="C246" s="66">
        <v>1321</v>
      </c>
      <c r="D246" s="85" t="s">
        <v>205</v>
      </c>
      <c r="E246" s="86" t="s">
        <v>693</v>
      </c>
      <c r="F246" s="86" t="s">
        <v>694</v>
      </c>
      <c r="G246" s="87">
        <f>_xlfn.XLOOKUP(B246,Sheet1!A:A,Sheet1!C:C)</f>
        <v>300370</v>
      </c>
      <c r="H246" s="66" t="s">
        <v>61</v>
      </c>
    </row>
    <row r="247" spans="1:8" ht="15" customHeight="1" x14ac:dyDescent="0.25">
      <c r="A247" s="71" t="s">
        <v>674</v>
      </c>
      <c r="B247" s="88" t="s">
        <v>577</v>
      </c>
      <c r="C247" s="66">
        <v>1321</v>
      </c>
      <c r="D247" s="85" t="s">
        <v>205</v>
      </c>
      <c r="E247" s="86" t="s">
        <v>693</v>
      </c>
      <c r="F247" s="86" t="s">
        <v>694</v>
      </c>
      <c r="G247" s="87">
        <f>_xlfn.XLOOKUP(B247,Sheet1!A:A,Sheet1!C:C)</f>
        <v>302800</v>
      </c>
      <c r="H247" s="66" t="s">
        <v>61</v>
      </c>
    </row>
    <row r="248" spans="1:8" ht="15" customHeight="1" x14ac:dyDescent="0.25">
      <c r="A248" s="71" t="s">
        <v>675</v>
      </c>
      <c r="B248" s="88" t="s">
        <v>578</v>
      </c>
      <c r="C248" s="66">
        <v>1321</v>
      </c>
      <c r="D248" s="85" t="s">
        <v>205</v>
      </c>
      <c r="E248" s="86" t="s">
        <v>693</v>
      </c>
      <c r="F248" s="86" t="s">
        <v>694</v>
      </c>
      <c r="G248" s="87">
        <f>_xlfn.XLOOKUP(B248,Sheet1!A:A,Sheet1!C:C)</f>
        <v>315060</v>
      </c>
      <c r="H248" s="66" t="s">
        <v>61</v>
      </c>
    </row>
    <row r="249" spans="1:8" ht="15" customHeight="1" x14ac:dyDescent="0.25">
      <c r="A249" s="71" t="s">
        <v>676</v>
      </c>
      <c r="B249" s="88" t="s">
        <v>579</v>
      </c>
      <c r="C249" s="66">
        <v>1321</v>
      </c>
      <c r="D249" s="85" t="s">
        <v>205</v>
      </c>
      <c r="E249" s="86" t="s">
        <v>693</v>
      </c>
      <c r="F249" s="86" t="s">
        <v>694</v>
      </c>
      <c r="G249" s="87">
        <f>_xlfn.XLOOKUP(B249,Sheet1!A:A,Sheet1!C:C)</f>
        <v>300440</v>
      </c>
      <c r="H249" s="66" t="s">
        <v>61</v>
      </c>
    </row>
    <row r="250" spans="1:8" ht="15" customHeight="1" x14ac:dyDescent="0.25">
      <c r="A250" s="71" t="s">
        <v>740</v>
      </c>
      <c r="B250" s="88" t="s">
        <v>331</v>
      </c>
      <c r="C250" s="66">
        <v>1320</v>
      </c>
      <c r="D250" s="85" t="s">
        <v>205</v>
      </c>
      <c r="E250" s="86" t="s">
        <v>693</v>
      </c>
      <c r="F250" s="86" t="s">
        <v>694</v>
      </c>
      <c r="G250" s="87">
        <f>_xlfn.XLOOKUP(B250,Sheet1!A:A,Sheet1!C:C)</f>
        <v>356600</v>
      </c>
      <c r="H250" s="66" t="s">
        <v>61</v>
      </c>
    </row>
    <row r="251" spans="1:8" ht="15" customHeight="1" x14ac:dyDescent="0.25">
      <c r="A251" s="71" t="s">
        <v>469</v>
      </c>
      <c r="B251" s="88" t="s">
        <v>332</v>
      </c>
      <c r="C251" s="66">
        <v>1320</v>
      </c>
      <c r="D251" s="85" t="s">
        <v>205</v>
      </c>
      <c r="E251" s="86" t="s">
        <v>693</v>
      </c>
      <c r="F251" s="86" t="s">
        <v>694</v>
      </c>
      <c r="G251" s="87">
        <f>_xlfn.XLOOKUP(B251,Sheet1!A:A,Sheet1!C:C)</f>
        <v>352260</v>
      </c>
      <c r="H251" s="66" t="s">
        <v>61</v>
      </c>
    </row>
    <row r="252" spans="1:8" ht="15" customHeight="1" x14ac:dyDescent="0.25">
      <c r="A252" s="90" t="s">
        <v>369</v>
      </c>
      <c r="B252" s="91" t="s">
        <v>333</v>
      </c>
      <c r="C252" s="92">
        <v>1320</v>
      </c>
      <c r="D252" s="93" t="s">
        <v>205</v>
      </c>
      <c r="E252" s="94" t="s">
        <v>693</v>
      </c>
      <c r="F252" s="94" t="s">
        <v>694</v>
      </c>
      <c r="G252" s="87">
        <f>_xlfn.XLOOKUP(B252,Sheet1!A:A,Sheet1!C:C)</f>
        <v>301030</v>
      </c>
      <c r="H252" s="92" t="s">
        <v>61</v>
      </c>
    </row>
    <row r="253" spans="1:8" ht="15" customHeight="1" x14ac:dyDescent="0.25">
      <c r="A253" s="95" t="s">
        <v>472</v>
      </c>
      <c r="B253" s="66" t="s">
        <v>334</v>
      </c>
      <c r="C253" s="66">
        <v>1320</v>
      </c>
      <c r="D253" s="85" t="s">
        <v>205</v>
      </c>
      <c r="E253" s="86" t="s">
        <v>693</v>
      </c>
      <c r="F253" s="86" t="s">
        <v>694</v>
      </c>
      <c r="G253" s="87">
        <f>_xlfn.XLOOKUP(B253,Sheet1!A:A,Sheet1!C:C)</f>
        <v>330890</v>
      </c>
      <c r="H253" s="66" t="s">
        <v>61</v>
      </c>
    </row>
    <row r="254" spans="1:8" ht="15" customHeight="1" x14ac:dyDescent="0.25">
      <c r="A254" s="95" t="s">
        <v>370</v>
      </c>
      <c r="B254" s="66" t="s">
        <v>335</v>
      </c>
      <c r="C254" s="66">
        <v>1320</v>
      </c>
      <c r="D254" s="85" t="s">
        <v>205</v>
      </c>
      <c r="E254" s="86" t="s">
        <v>693</v>
      </c>
      <c r="F254" s="86" t="s">
        <v>694</v>
      </c>
      <c r="G254" s="87">
        <f>_xlfn.XLOOKUP(B254,Sheet1!A:A,Sheet1!C:C)</f>
        <v>300900</v>
      </c>
      <c r="H254" s="66" t="s">
        <v>61</v>
      </c>
    </row>
  </sheetData>
  <sheetProtection selectLockedCells="1" selectUnlockedCells="1"/>
  <autoFilter ref="A1:H247" xr:uid="{67C831E1-B557-4ED6-A929-DC4525E4A475}"/>
  <phoneticPr fontId="53" type="noConversion"/>
  <conditionalFormatting sqref="A2:A254">
    <cfRule type="cellIs" dxfId="9" priority="1" operator="equal">
      <formula>"EM00000000"</formula>
    </cfRule>
    <cfRule type="expression" dxfId="8" priority="2">
      <formula>$D2&lt;&gt;1</formula>
    </cfRule>
  </conditionalFormatting>
  <conditionalFormatting sqref="A255:A1048576 A1">
    <cfRule type="duplicateValues" dxfId="7" priority="6"/>
  </conditionalFormatting>
  <conditionalFormatting sqref="B1:B22 B27:B1048576">
    <cfRule type="duplicateValues" dxfId="6" priority="7"/>
  </conditionalFormatting>
  <conditionalFormatting sqref="B253:B1048576 B1">
    <cfRule type="duplicateValues" dxfId="5" priority="14"/>
    <cfRule type="duplicateValues" dxfId="4" priority="15"/>
    <cfRule type="duplicateValues" dxfId="3" priority="16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04D5-1F72-4328-B4FF-2653885FF7D1}">
  <dimension ref="A1:AK369"/>
  <sheetViews>
    <sheetView topLeftCell="A222" zoomScaleNormal="100" workbookViewId="0">
      <pane xSplit="1" topLeftCell="B1" activePane="topRight" state="frozen"/>
      <selection pane="topRight" activeCell="H245" sqref="H245"/>
    </sheetView>
  </sheetViews>
  <sheetFormatPr defaultColWidth="9.140625" defaultRowHeight="12.75" x14ac:dyDescent="0.25"/>
  <cols>
    <col min="1" max="1" width="20.7109375" style="44" customWidth="1"/>
    <col min="2" max="2" width="9.5703125" style="44" customWidth="1"/>
    <col min="3" max="3" width="10.140625" style="44" customWidth="1"/>
    <col min="4" max="4" width="9.28515625" style="44" customWidth="1"/>
    <col min="5" max="5" width="8.42578125" style="44" customWidth="1"/>
    <col min="6" max="7" width="11.28515625" style="44" customWidth="1"/>
    <col min="8" max="8" width="13.85546875" style="44" customWidth="1"/>
    <col min="9" max="9" width="11.42578125" style="44" customWidth="1"/>
    <col min="10" max="10" width="12.5703125" style="44" customWidth="1"/>
    <col min="11" max="11" width="9.28515625" style="44" customWidth="1"/>
    <col min="12" max="12" width="12.85546875" style="44" customWidth="1"/>
    <col min="13" max="13" width="10.42578125" style="44" customWidth="1"/>
    <col min="14" max="14" width="12.28515625" style="44" customWidth="1"/>
    <col min="15" max="15" width="11.85546875" style="44" customWidth="1"/>
    <col min="16" max="16" width="12.140625" style="44" customWidth="1"/>
    <col min="17" max="17" width="11.140625" style="44" customWidth="1"/>
    <col min="18" max="19" width="11" style="44" customWidth="1"/>
    <col min="20" max="20" width="12" style="44" customWidth="1"/>
    <col min="21" max="21" width="10.28515625" style="44" customWidth="1"/>
    <col min="22" max="24" width="12.28515625" style="44" customWidth="1"/>
    <col min="25" max="25" width="12" style="44" customWidth="1"/>
    <col min="26" max="28" width="12.28515625" style="44" customWidth="1"/>
    <col min="29" max="29" width="10.85546875" style="44" customWidth="1"/>
    <col min="30" max="30" width="12.28515625" style="44" customWidth="1"/>
    <col min="31" max="31" width="11.42578125" style="44" customWidth="1"/>
    <col min="32" max="16384" width="9.140625" style="43"/>
  </cols>
  <sheetData>
    <row r="1" spans="1:37" s="42" customFormat="1" ht="33" customHeight="1" x14ac:dyDescent="0.25">
      <c r="A1" s="45" t="s">
        <v>47</v>
      </c>
      <c r="B1" s="45" t="s">
        <v>23</v>
      </c>
      <c r="C1" s="45" t="s">
        <v>50</v>
      </c>
      <c r="D1" s="45" t="s">
        <v>57</v>
      </c>
      <c r="E1" s="45" t="s">
        <v>0</v>
      </c>
      <c r="F1" s="45" t="s">
        <v>29</v>
      </c>
      <c r="G1" s="45" t="s">
        <v>30</v>
      </c>
      <c r="H1" s="74" t="s">
        <v>48</v>
      </c>
      <c r="I1" s="45" t="s">
        <v>50</v>
      </c>
      <c r="J1" s="45" t="s">
        <v>49</v>
      </c>
      <c r="K1" s="45" t="s">
        <v>51</v>
      </c>
      <c r="L1" s="45" t="s">
        <v>53</v>
      </c>
      <c r="M1" s="45" t="s">
        <v>56</v>
      </c>
      <c r="N1" s="45" t="s">
        <v>1</v>
      </c>
      <c r="O1" s="45" t="s">
        <v>39</v>
      </c>
      <c r="P1" s="45" t="s">
        <v>2</v>
      </c>
      <c r="Q1" s="45" t="s">
        <v>40</v>
      </c>
      <c r="R1" s="45" t="s">
        <v>3</v>
      </c>
      <c r="S1" s="45" t="s">
        <v>41</v>
      </c>
      <c r="T1" s="45" t="s">
        <v>4</v>
      </c>
      <c r="U1" s="45" t="s">
        <v>42</v>
      </c>
      <c r="V1" s="45" t="s">
        <v>54</v>
      </c>
      <c r="W1" s="45" t="s">
        <v>55</v>
      </c>
      <c r="X1" s="45" t="s">
        <v>5</v>
      </c>
      <c r="Y1" s="45" t="s">
        <v>43</v>
      </c>
      <c r="Z1" s="46" t="s">
        <v>6</v>
      </c>
      <c r="AA1" s="46" t="s">
        <v>44</v>
      </c>
      <c r="AB1" s="46" t="s">
        <v>7</v>
      </c>
      <c r="AC1" s="46" t="s">
        <v>45</v>
      </c>
      <c r="AD1" s="46" t="s">
        <v>38</v>
      </c>
      <c r="AE1" s="46" t="s">
        <v>46</v>
      </c>
      <c r="AH1" s="80" t="s">
        <v>929</v>
      </c>
      <c r="AI1" s="81" t="s">
        <v>930</v>
      </c>
      <c r="AJ1" s="81" t="s">
        <v>931</v>
      </c>
      <c r="AK1" s="81" t="s">
        <v>932</v>
      </c>
    </row>
    <row r="2" spans="1:37" ht="15" customHeight="1" x14ac:dyDescent="0.25">
      <c r="A2" s="76" t="s">
        <v>160</v>
      </c>
      <c r="B2" s="73">
        <v>1311</v>
      </c>
      <c r="C2" s="37" t="s">
        <v>71</v>
      </c>
      <c r="D2" s="37">
        <v>1</v>
      </c>
      <c r="E2" s="47" t="s">
        <v>205</v>
      </c>
      <c r="F2" s="48">
        <v>46266</v>
      </c>
      <c r="G2" s="77">
        <v>46295</v>
      </c>
      <c r="H2" s="78" t="s">
        <v>160</v>
      </c>
      <c r="I2" s="73" t="s">
        <v>71</v>
      </c>
      <c r="J2" s="49" t="s">
        <v>163</v>
      </c>
      <c r="K2" s="49" t="s">
        <v>76</v>
      </c>
      <c r="L2" s="37"/>
      <c r="M2" s="37"/>
      <c r="N2" s="37" t="s">
        <v>196</v>
      </c>
      <c r="O2" s="37" t="s">
        <v>197</v>
      </c>
      <c r="P2" s="37" t="s">
        <v>31</v>
      </c>
      <c r="Q2" s="37"/>
      <c r="R2" s="37" t="s">
        <v>31</v>
      </c>
      <c r="S2" s="37"/>
      <c r="T2" s="37" t="s">
        <v>31</v>
      </c>
      <c r="U2" s="37"/>
      <c r="V2" s="50" t="s">
        <v>202</v>
      </c>
      <c r="W2" s="37" t="s">
        <v>203</v>
      </c>
      <c r="X2" s="37" t="s">
        <v>31</v>
      </c>
      <c r="Y2" s="37"/>
      <c r="Z2" s="37" t="s">
        <v>31</v>
      </c>
      <c r="AA2" s="37"/>
      <c r="AB2" s="37" t="s">
        <v>31</v>
      </c>
      <c r="AC2" s="37"/>
      <c r="AD2" s="37" t="s">
        <v>31</v>
      </c>
      <c r="AE2" s="37"/>
      <c r="AH2" s="17"/>
      <c r="AI2" s="17" t="b">
        <f t="shared" ref="AI2" si="0">IF(D2=1,A2=H2,IF(D2=2,A2=J2,IF(D2=4,A2=N2,IF(D2=6,A2=R2,IF(D2=7,A2=T2,IF(D2=8,A2=V2,IF(D2=9,A2=X2,IF(D2=10,A2=Z2,IF(D2=11,A2=AB2,IF(D2=12,A2=AD2,IF(D2=13,A2=AF2)))))))))))</f>
        <v>1</v>
      </c>
      <c r="AJ2" s="17" t="b">
        <f t="shared" ref="AJ2" si="1">IF(D2=1,C2=I2,IF(D2=2,C2=K2,IF(D2=4,C2=O2,IF(D2=6,C2=S2,IF(D2=7,C2=U2,IF(D2=8,C2=W2,IF(D2=9,C2=Y2,IF(D2=10,C2=AA2,IF(D2=11,C2=AC2,IF(D2=12,C2=AE2,IF(D2=13,C2=AG2)))))))))))</f>
        <v>1</v>
      </c>
      <c r="AK2" s="17" t="str">
        <f t="shared" ref="AK2" si="2">IF(D2=1,J2,IF(D2=2,N2,IF(D2=4,R2,IF(D2=6,T2,IF(D2=7,V2,IF(D2=8,X2,IF(D2=9,Z2)))))))</f>
        <v>EM00011558</v>
      </c>
    </row>
    <row r="3" spans="1:37" ht="15" customHeight="1" x14ac:dyDescent="0.25">
      <c r="A3" s="76" t="s">
        <v>277</v>
      </c>
      <c r="B3" s="73">
        <v>1311</v>
      </c>
      <c r="C3" s="37" t="s">
        <v>72</v>
      </c>
      <c r="D3" s="37">
        <v>1</v>
      </c>
      <c r="E3" s="47" t="s">
        <v>205</v>
      </c>
      <c r="F3" s="48">
        <v>46266</v>
      </c>
      <c r="G3" s="77">
        <v>46295</v>
      </c>
      <c r="H3" s="78" t="s">
        <v>277</v>
      </c>
      <c r="I3" s="73" t="s">
        <v>72</v>
      </c>
      <c r="J3" s="49" t="s">
        <v>163</v>
      </c>
      <c r="K3" s="49" t="s">
        <v>76</v>
      </c>
      <c r="L3" s="37"/>
      <c r="M3" s="37"/>
      <c r="N3" s="37" t="s">
        <v>196</v>
      </c>
      <c r="O3" s="37" t="s">
        <v>197</v>
      </c>
      <c r="P3" s="37" t="s">
        <v>31</v>
      </c>
      <c r="Q3" s="37"/>
      <c r="R3" s="37" t="s">
        <v>31</v>
      </c>
      <c r="S3" s="37"/>
      <c r="T3" s="37" t="s">
        <v>31</v>
      </c>
      <c r="U3" s="37"/>
      <c r="V3" s="50" t="s">
        <v>202</v>
      </c>
      <c r="W3" s="37" t="s">
        <v>203</v>
      </c>
      <c r="X3" s="37" t="s">
        <v>31</v>
      </c>
      <c r="Y3" s="37"/>
      <c r="Z3" s="37" t="s">
        <v>31</v>
      </c>
      <c r="AA3" s="37"/>
      <c r="AB3" s="37" t="s">
        <v>31</v>
      </c>
      <c r="AC3" s="37"/>
      <c r="AD3" s="37" t="s">
        <v>31</v>
      </c>
      <c r="AE3" s="37"/>
      <c r="AH3" s="17"/>
      <c r="AI3" s="17" t="b">
        <f t="shared" ref="AI3:AI66" si="3">IF(D3=1,A3=H3,IF(D3=2,A3=J3,IF(D3=4,A3=N3,IF(D3=6,A3=R3,IF(D3=7,A3=T3,IF(D3=8,A3=V3,IF(D3=9,A3=X3,IF(D3=10,A3=Z3,IF(D3=11,A3=AB3,IF(D3=12,A3=AD3,IF(D3=13,A3=AF3)))))))))))</f>
        <v>1</v>
      </c>
      <c r="AJ3" s="17" t="b">
        <f t="shared" ref="AJ3:AJ66" si="4">IF(D3=1,C3=I3,IF(D3=2,C3=K3,IF(D3=4,C3=O3,IF(D3=6,C3=S3,IF(D3=7,C3=U3,IF(D3=8,C3=W3,IF(D3=9,C3=Y3,IF(D3=10,C3=AA3,IF(D3=11,C3=AC3,IF(D3=12,C3=AE3,IF(D3=13,C3=AG3)))))))))))</f>
        <v>1</v>
      </c>
      <c r="AK3" s="17" t="str">
        <f t="shared" ref="AK3:AK66" si="5">IF(D3=1,J3,IF(D3=2,N3,IF(D3=4,R3,IF(D3=6,T3,IF(D3=7,V3,IF(D3=8,X3,IF(D3=9,Z3)))))))</f>
        <v>EM00011558</v>
      </c>
    </row>
    <row r="4" spans="1:37" ht="15" customHeight="1" x14ac:dyDescent="0.25">
      <c r="A4" s="76" t="s">
        <v>680</v>
      </c>
      <c r="B4" s="73">
        <v>1311</v>
      </c>
      <c r="C4" s="37" t="s">
        <v>73</v>
      </c>
      <c r="D4" s="37">
        <v>1</v>
      </c>
      <c r="E4" s="47" t="s">
        <v>205</v>
      </c>
      <c r="F4" s="48">
        <v>46266</v>
      </c>
      <c r="G4" s="77">
        <v>46295</v>
      </c>
      <c r="H4" s="78" t="s">
        <v>680</v>
      </c>
      <c r="I4" s="73" t="s">
        <v>73</v>
      </c>
      <c r="J4" s="49" t="s">
        <v>163</v>
      </c>
      <c r="K4" s="49" t="s">
        <v>76</v>
      </c>
      <c r="L4" s="37"/>
      <c r="M4" s="37"/>
      <c r="N4" s="37" t="s">
        <v>196</v>
      </c>
      <c r="O4" s="37" t="s">
        <v>197</v>
      </c>
      <c r="P4" s="37" t="s">
        <v>31</v>
      </c>
      <c r="Q4" s="37"/>
      <c r="R4" s="37" t="s">
        <v>31</v>
      </c>
      <c r="S4" s="37"/>
      <c r="T4" s="37" t="s">
        <v>31</v>
      </c>
      <c r="U4" s="37"/>
      <c r="V4" s="50" t="s">
        <v>202</v>
      </c>
      <c r="W4" s="37" t="s">
        <v>203</v>
      </c>
      <c r="X4" s="37" t="s">
        <v>31</v>
      </c>
      <c r="Y4" s="37"/>
      <c r="Z4" s="37" t="s">
        <v>31</v>
      </c>
      <c r="AA4" s="37"/>
      <c r="AB4" s="37" t="s">
        <v>31</v>
      </c>
      <c r="AC4" s="37"/>
      <c r="AD4" s="37" t="s">
        <v>31</v>
      </c>
      <c r="AE4" s="37"/>
      <c r="AH4" s="17"/>
      <c r="AI4" s="17" t="b">
        <f t="shared" si="3"/>
        <v>1</v>
      </c>
      <c r="AJ4" s="17" t="b">
        <f t="shared" si="4"/>
        <v>1</v>
      </c>
      <c r="AK4" s="17" t="str">
        <f t="shared" si="5"/>
        <v>EM00011558</v>
      </c>
    </row>
    <row r="5" spans="1:37" ht="15" customHeight="1" x14ac:dyDescent="0.25">
      <c r="A5" s="76" t="s">
        <v>161</v>
      </c>
      <c r="B5" s="73">
        <v>1311</v>
      </c>
      <c r="C5" s="37" t="s">
        <v>74</v>
      </c>
      <c r="D5" s="37">
        <v>1</v>
      </c>
      <c r="E5" s="47" t="s">
        <v>205</v>
      </c>
      <c r="F5" s="48">
        <v>46266</v>
      </c>
      <c r="G5" s="77">
        <v>46295</v>
      </c>
      <c r="H5" s="78" t="s">
        <v>161</v>
      </c>
      <c r="I5" s="73" t="s">
        <v>74</v>
      </c>
      <c r="J5" s="49" t="s">
        <v>163</v>
      </c>
      <c r="K5" s="49" t="s">
        <v>76</v>
      </c>
      <c r="L5" s="37"/>
      <c r="M5" s="37"/>
      <c r="N5" s="37" t="s">
        <v>196</v>
      </c>
      <c r="O5" s="37" t="s">
        <v>197</v>
      </c>
      <c r="P5" s="37" t="s">
        <v>31</v>
      </c>
      <c r="Q5" s="37"/>
      <c r="R5" s="37" t="s">
        <v>31</v>
      </c>
      <c r="S5" s="37"/>
      <c r="T5" s="37" t="s">
        <v>31</v>
      </c>
      <c r="U5" s="37"/>
      <c r="V5" s="50" t="s">
        <v>202</v>
      </c>
      <c r="W5" s="37" t="s">
        <v>203</v>
      </c>
      <c r="X5" s="37" t="s">
        <v>31</v>
      </c>
      <c r="Y5" s="37"/>
      <c r="Z5" s="37" t="s">
        <v>31</v>
      </c>
      <c r="AA5" s="37"/>
      <c r="AB5" s="37" t="s">
        <v>31</v>
      </c>
      <c r="AC5" s="37"/>
      <c r="AD5" s="37" t="s">
        <v>31</v>
      </c>
      <c r="AE5" s="37"/>
      <c r="AH5" s="17"/>
      <c r="AI5" s="17" t="b">
        <f t="shared" si="3"/>
        <v>1</v>
      </c>
      <c r="AJ5" s="17" t="b">
        <f t="shared" si="4"/>
        <v>1</v>
      </c>
      <c r="AK5" s="17" t="str">
        <f t="shared" si="5"/>
        <v>EM00011558</v>
      </c>
    </row>
    <row r="6" spans="1:37" ht="15" customHeight="1" x14ac:dyDescent="0.25">
      <c r="A6" s="76" t="s">
        <v>162</v>
      </c>
      <c r="B6" s="73">
        <v>1311</v>
      </c>
      <c r="C6" s="37" t="s">
        <v>75</v>
      </c>
      <c r="D6" s="37">
        <v>1</v>
      </c>
      <c r="E6" s="47" t="s">
        <v>205</v>
      </c>
      <c r="F6" s="48">
        <v>46266</v>
      </c>
      <c r="G6" s="77">
        <v>46295</v>
      </c>
      <c r="H6" s="78" t="s">
        <v>162</v>
      </c>
      <c r="I6" s="73" t="s">
        <v>75</v>
      </c>
      <c r="J6" s="49" t="s">
        <v>163</v>
      </c>
      <c r="K6" s="49" t="s">
        <v>76</v>
      </c>
      <c r="L6" s="37"/>
      <c r="M6" s="37"/>
      <c r="N6" s="37" t="s">
        <v>196</v>
      </c>
      <c r="O6" s="37" t="s">
        <v>197</v>
      </c>
      <c r="P6" s="37" t="s">
        <v>31</v>
      </c>
      <c r="Q6" s="37"/>
      <c r="R6" s="37" t="s">
        <v>31</v>
      </c>
      <c r="S6" s="37"/>
      <c r="T6" s="37" t="s">
        <v>31</v>
      </c>
      <c r="U6" s="37"/>
      <c r="V6" s="50" t="s">
        <v>202</v>
      </c>
      <c r="W6" s="37" t="s">
        <v>203</v>
      </c>
      <c r="X6" s="37" t="s">
        <v>31</v>
      </c>
      <c r="Y6" s="37"/>
      <c r="Z6" s="37" t="s">
        <v>31</v>
      </c>
      <c r="AA6" s="37"/>
      <c r="AB6" s="37" t="s">
        <v>31</v>
      </c>
      <c r="AC6" s="37"/>
      <c r="AD6" s="37" t="s">
        <v>31</v>
      </c>
      <c r="AE6" s="37"/>
      <c r="AH6" s="17"/>
      <c r="AI6" s="17" t="b">
        <f t="shared" si="3"/>
        <v>1</v>
      </c>
      <c r="AJ6" s="17" t="b">
        <f t="shared" si="4"/>
        <v>1</v>
      </c>
      <c r="AK6" s="17" t="str">
        <f t="shared" si="5"/>
        <v>EM00011558</v>
      </c>
    </row>
    <row r="7" spans="1:37" ht="15" customHeight="1" x14ac:dyDescent="0.25">
      <c r="A7" s="76" t="s">
        <v>163</v>
      </c>
      <c r="B7" s="73">
        <v>1311</v>
      </c>
      <c r="C7" s="49" t="s">
        <v>76</v>
      </c>
      <c r="D7" s="37">
        <v>2</v>
      </c>
      <c r="E7" s="47" t="s">
        <v>205</v>
      </c>
      <c r="F7" s="48">
        <v>46266</v>
      </c>
      <c r="G7" s="77">
        <v>46295</v>
      </c>
      <c r="H7" s="78"/>
      <c r="I7" s="73"/>
      <c r="J7" s="49" t="s">
        <v>163</v>
      </c>
      <c r="K7" s="49" t="s">
        <v>76</v>
      </c>
      <c r="L7" s="37"/>
      <c r="M7" s="37"/>
      <c r="N7" s="37" t="s">
        <v>196</v>
      </c>
      <c r="O7" s="37" t="s">
        <v>197</v>
      </c>
      <c r="P7" s="37" t="s">
        <v>31</v>
      </c>
      <c r="Q7" s="37"/>
      <c r="R7" s="37" t="s">
        <v>31</v>
      </c>
      <c r="S7" s="37"/>
      <c r="T7" s="37" t="s">
        <v>31</v>
      </c>
      <c r="U7" s="37"/>
      <c r="V7" s="50" t="s">
        <v>202</v>
      </c>
      <c r="W7" s="37" t="s">
        <v>203</v>
      </c>
      <c r="X7" s="37" t="s">
        <v>31</v>
      </c>
      <c r="Y7" s="37"/>
      <c r="Z7" s="37" t="s">
        <v>31</v>
      </c>
      <c r="AA7" s="37"/>
      <c r="AB7" s="37" t="s">
        <v>31</v>
      </c>
      <c r="AC7" s="37"/>
      <c r="AD7" s="37" t="s">
        <v>31</v>
      </c>
      <c r="AE7" s="37"/>
      <c r="AH7" s="17"/>
      <c r="AI7" s="17" t="b">
        <f t="shared" si="3"/>
        <v>1</v>
      </c>
      <c r="AJ7" s="17" t="b">
        <f t="shared" si="4"/>
        <v>1</v>
      </c>
      <c r="AK7" s="17" t="str">
        <f t="shared" si="5"/>
        <v>EM00012371</v>
      </c>
    </row>
    <row r="8" spans="1:37" ht="15" customHeight="1" x14ac:dyDescent="0.25">
      <c r="A8" s="75" t="str">
        <f>_xlfn.XLOOKUP(C8,[1]Sheet2!$D:$D,[1]Sheet2!$C:$C)</f>
        <v>EM00016421</v>
      </c>
      <c r="B8" s="37">
        <v>1311</v>
      </c>
      <c r="C8" s="51" t="s">
        <v>77</v>
      </c>
      <c r="D8" s="37">
        <v>1</v>
      </c>
      <c r="E8" s="47" t="s">
        <v>205</v>
      </c>
      <c r="F8" s="48">
        <v>46266</v>
      </c>
      <c r="G8" s="48">
        <v>46295</v>
      </c>
      <c r="H8" s="75" t="s">
        <v>681</v>
      </c>
      <c r="I8" s="51" t="s">
        <v>77</v>
      </c>
      <c r="J8" s="49" t="s">
        <v>167</v>
      </c>
      <c r="K8" s="49" t="s">
        <v>81</v>
      </c>
      <c r="L8" s="37"/>
      <c r="M8" s="37"/>
      <c r="N8" s="37" t="s">
        <v>196</v>
      </c>
      <c r="O8" s="37" t="s">
        <v>197</v>
      </c>
      <c r="P8" s="37" t="s">
        <v>31</v>
      </c>
      <c r="Q8" s="37"/>
      <c r="R8" s="37" t="s">
        <v>31</v>
      </c>
      <c r="S8" s="37"/>
      <c r="T8" s="37" t="s">
        <v>31</v>
      </c>
      <c r="U8" s="37"/>
      <c r="V8" s="50" t="s">
        <v>202</v>
      </c>
      <c r="W8" s="37" t="s">
        <v>203</v>
      </c>
      <c r="X8" s="37" t="s">
        <v>31</v>
      </c>
      <c r="Y8" s="37"/>
      <c r="Z8" s="37" t="s">
        <v>31</v>
      </c>
      <c r="AA8" s="37"/>
      <c r="AB8" s="37" t="s">
        <v>31</v>
      </c>
      <c r="AC8" s="37"/>
      <c r="AD8" s="37" t="s">
        <v>31</v>
      </c>
      <c r="AE8" s="37"/>
      <c r="AH8" s="17"/>
      <c r="AI8" s="17" t="b">
        <f t="shared" si="3"/>
        <v>1</v>
      </c>
      <c r="AJ8" s="17" t="b">
        <f t="shared" si="4"/>
        <v>1</v>
      </c>
      <c r="AK8" s="17" t="str">
        <f t="shared" si="5"/>
        <v>EM00015656</v>
      </c>
    </row>
    <row r="9" spans="1:37" ht="15" customHeight="1" x14ac:dyDescent="0.25">
      <c r="A9" s="75" t="str">
        <f>_xlfn.XLOOKUP(C9,[1]Sheet2!$D:$D,[1]Sheet2!$C:$C)</f>
        <v>EM00015587</v>
      </c>
      <c r="B9" s="37">
        <v>1311</v>
      </c>
      <c r="C9" s="51" t="s">
        <v>78</v>
      </c>
      <c r="D9" s="37">
        <v>1</v>
      </c>
      <c r="E9" s="47" t="s">
        <v>205</v>
      </c>
      <c r="F9" s="48">
        <v>46266</v>
      </c>
      <c r="G9" s="48">
        <v>46295</v>
      </c>
      <c r="H9" s="37" t="s">
        <v>164</v>
      </c>
      <c r="I9" s="51" t="s">
        <v>78</v>
      </c>
      <c r="J9" s="49" t="s">
        <v>167</v>
      </c>
      <c r="K9" s="49" t="s">
        <v>81</v>
      </c>
      <c r="L9" s="37"/>
      <c r="M9" s="37"/>
      <c r="N9" s="37" t="s">
        <v>196</v>
      </c>
      <c r="O9" s="37" t="s">
        <v>197</v>
      </c>
      <c r="P9" s="37" t="s">
        <v>31</v>
      </c>
      <c r="Q9" s="37"/>
      <c r="R9" s="37" t="s">
        <v>31</v>
      </c>
      <c r="S9" s="37"/>
      <c r="T9" s="37" t="s">
        <v>31</v>
      </c>
      <c r="U9" s="37"/>
      <c r="V9" s="50" t="s">
        <v>202</v>
      </c>
      <c r="W9" s="37" t="s">
        <v>203</v>
      </c>
      <c r="X9" s="37" t="s">
        <v>31</v>
      </c>
      <c r="Y9" s="37"/>
      <c r="Z9" s="37" t="s">
        <v>31</v>
      </c>
      <c r="AA9" s="37"/>
      <c r="AB9" s="37" t="s">
        <v>31</v>
      </c>
      <c r="AC9" s="37"/>
      <c r="AD9" s="37" t="s">
        <v>31</v>
      </c>
      <c r="AE9" s="37"/>
      <c r="AH9" s="17"/>
      <c r="AI9" s="17" t="b">
        <f t="shared" si="3"/>
        <v>1</v>
      </c>
      <c r="AJ9" s="17" t="b">
        <f t="shared" si="4"/>
        <v>1</v>
      </c>
      <c r="AK9" s="17" t="str">
        <f t="shared" si="5"/>
        <v>EM00015656</v>
      </c>
    </row>
    <row r="10" spans="1:37" ht="15" customHeight="1" x14ac:dyDescent="0.25">
      <c r="A10" s="75" t="str">
        <f>_xlfn.XLOOKUP(C10,[1]Sheet2!$D:$D,[1]Sheet2!$C:$C)</f>
        <v>EM00015607</v>
      </c>
      <c r="B10" s="37">
        <v>1311</v>
      </c>
      <c r="C10" s="37" t="s">
        <v>79</v>
      </c>
      <c r="D10" s="37">
        <v>1</v>
      </c>
      <c r="E10" s="47" t="s">
        <v>205</v>
      </c>
      <c r="F10" s="48">
        <v>46266</v>
      </c>
      <c r="G10" s="48">
        <v>46295</v>
      </c>
      <c r="H10" s="37" t="s">
        <v>165</v>
      </c>
      <c r="I10" s="37" t="s">
        <v>79</v>
      </c>
      <c r="J10" s="49" t="s">
        <v>167</v>
      </c>
      <c r="K10" s="49" t="s">
        <v>81</v>
      </c>
      <c r="L10" s="37"/>
      <c r="M10" s="37"/>
      <c r="N10" s="37" t="s">
        <v>196</v>
      </c>
      <c r="O10" s="37" t="s">
        <v>197</v>
      </c>
      <c r="P10" s="37" t="s">
        <v>31</v>
      </c>
      <c r="Q10" s="37"/>
      <c r="R10" s="37" t="s">
        <v>31</v>
      </c>
      <c r="S10" s="37"/>
      <c r="T10" s="37" t="s">
        <v>31</v>
      </c>
      <c r="U10" s="37"/>
      <c r="V10" s="50" t="s">
        <v>202</v>
      </c>
      <c r="W10" s="37" t="s">
        <v>203</v>
      </c>
      <c r="X10" s="37" t="s">
        <v>31</v>
      </c>
      <c r="Y10" s="37"/>
      <c r="Z10" s="37" t="s">
        <v>31</v>
      </c>
      <c r="AA10" s="37"/>
      <c r="AB10" s="37" t="s">
        <v>31</v>
      </c>
      <c r="AC10" s="37"/>
      <c r="AD10" s="37" t="s">
        <v>31</v>
      </c>
      <c r="AE10" s="37"/>
      <c r="AH10" s="17"/>
      <c r="AI10" s="17" t="b">
        <f t="shared" si="3"/>
        <v>1</v>
      </c>
      <c r="AJ10" s="17" t="b">
        <f t="shared" si="4"/>
        <v>1</v>
      </c>
      <c r="AK10" s="17" t="str">
        <f t="shared" si="5"/>
        <v>EM00015656</v>
      </c>
    </row>
    <row r="11" spans="1:37" ht="15" customHeight="1" x14ac:dyDescent="0.25">
      <c r="A11" s="75" t="str">
        <f>_xlfn.XLOOKUP(C11,[1]Sheet2!$D:$D,[1]Sheet2!$C:$C)</f>
        <v>EM00015608</v>
      </c>
      <c r="B11" s="37">
        <v>1311</v>
      </c>
      <c r="C11" s="37" t="s">
        <v>80</v>
      </c>
      <c r="D11" s="37">
        <v>1</v>
      </c>
      <c r="E11" s="47" t="s">
        <v>205</v>
      </c>
      <c r="F11" s="48">
        <v>46266</v>
      </c>
      <c r="G11" s="48">
        <v>46295</v>
      </c>
      <c r="H11" s="37" t="s">
        <v>166</v>
      </c>
      <c r="I11" s="37" t="s">
        <v>80</v>
      </c>
      <c r="J11" s="49" t="s">
        <v>167</v>
      </c>
      <c r="K11" s="49" t="s">
        <v>81</v>
      </c>
      <c r="L11" s="37"/>
      <c r="M11" s="37"/>
      <c r="N11" s="37" t="s">
        <v>196</v>
      </c>
      <c r="O11" s="37" t="s">
        <v>197</v>
      </c>
      <c r="P11" s="37" t="s">
        <v>31</v>
      </c>
      <c r="Q11" s="37"/>
      <c r="R11" s="37" t="s">
        <v>31</v>
      </c>
      <c r="S11" s="37"/>
      <c r="T11" s="37" t="s">
        <v>31</v>
      </c>
      <c r="U11" s="37"/>
      <c r="V11" s="50" t="s">
        <v>202</v>
      </c>
      <c r="W11" s="37" t="s">
        <v>203</v>
      </c>
      <c r="X11" s="37" t="s">
        <v>31</v>
      </c>
      <c r="Y11" s="37"/>
      <c r="Z11" s="37" t="s">
        <v>31</v>
      </c>
      <c r="AA11" s="37"/>
      <c r="AB11" s="37" t="s">
        <v>31</v>
      </c>
      <c r="AC11" s="37"/>
      <c r="AD11" s="37" t="s">
        <v>31</v>
      </c>
      <c r="AE11" s="37"/>
      <c r="AH11" s="17"/>
      <c r="AI11" s="17" t="b">
        <f t="shared" si="3"/>
        <v>1</v>
      </c>
      <c r="AJ11" s="17" t="b">
        <f t="shared" si="4"/>
        <v>1</v>
      </c>
      <c r="AK11" s="17" t="str">
        <f t="shared" si="5"/>
        <v>EM00015656</v>
      </c>
    </row>
    <row r="12" spans="1:37" s="72" customFormat="1" ht="15" customHeight="1" x14ac:dyDescent="0.25">
      <c r="A12" s="75" t="str">
        <f>_xlfn.XLOOKUP(C12,[1]Sheet2!$D:$D,[1]Sheet2!$C:$C)</f>
        <v>EM00000000</v>
      </c>
      <c r="B12" s="37">
        <v>1311</v>
      </c>
      <c r="C12" s="71" t="s">
        <v>695</v>
      </c>
      <c r="D12" s="71">
        <v>1</v>
      </c>
      <c r="E12" s="47" t="s">
        <v>205</v>
      </c>
      <c r="F12" s="48">
        <v>46266</v>
      </c>
      <c r="G12" s="48">
        <v>46295</v>
      </c>
      <c r="H12" s="37" t="s">
        <v>31</v>
      </c>
      <c r="I12" s="71" t="s">
        <v>695</v>
      </c>
      <c r="J12" s="49" t="s">
        <v>167</v>
      </c>
      <c r="K12" s="49" t="s">
        <v>81</v>
      </c>
      <c r="L12" s="71"/>
      <c r="M12" s="71"/>
      <c r="N12" s="37" t="s">
        <v>196</v>
      </c>
      <c r="O12" s="37" t="s">
        <v>197</v>
      </c>
      <c r="P12" s="37" t="s">
        <v>31</v>
      </c>
      <c r="Q12" s="71"/>
      <c r="R12" s="37" t="s">
        <v>31</v>
      </c>
      <c r="S12" s="71"/>
      <c r="T12" s="37" t="s">
        <v>31</v>
      </c>
      <c r="U12" s="71"/>
      <c r="V12" s="50" t="s">
        <v>202</v>
      </c>
      <c r="W12" s="37" t="s">
        <v>203</v>
      </c>
      <c r="X12" s="37" t="s">
        <v>31</v>
      </c>
      <c r="Y12" s="71"/>
      <c r="Z12" s="37" t="s">
        <v>31</v>
      </c>
      <c r="AA12" s="71"/>
      <c r="AB12" s="37" t="s">
        <v>31</v>
      </c>
      <c r="AC12" s="71"/>
      <c r="AD12" s="37" t="s">
        <v>31</v>
      </c>
      <c r="AE12" s="71"/>
      <c r="AH12" s="17"/>
      <c r="AI12" s="17" t="b">
        <f t="shared" si="3"/>
        <v>1</v>
      </c>
      <c r="AJ12" s="17" t="b">
        <f t="shared" si="4"/>
        <v>1</v>
      </c>
      <c r="AK12" s="17" t="str">
        <f t="shared" si="5"/>
        <v>EM00015656</v>
      </c>
    </row>
    <row r="13" spans="1:37" ht="15" customHeight="1" x14ac:dyDescent="0.25">
      <c r="A13" s="75" t="str">
        <f>_xlfn.XLOOKUP(C13,[1]Sheet2!$D:$D,[1]Sheet2!$C:$C)</f>
        <v>EM00015656</v>
      </c>
      <c r="B13" s="37">
        <v>1311</v>
      </c>
      <c r="C13" s="49" t="s">
        <v>81</v>
      </c>
      <c r="D13" s="37">
        <v>2</v>
      </c>
      <c r="E13" s="47" t="s">
        <v>205</v>
      </c>
      <c r="F13" s="48">
        <v>46266</v>
      </c>
      <c r="G13" s="48">
        <v>46295</v>
      </c>
      <c r="H13" s="37"/>
      <c r="I13" s="37"/>
      <c r="J13" s="49" t="s">
        <v>167</v>
      </c>
      <c r="K13" s="49" t="s">
        <v>81</v>
      </c>
      <c r="L13" s="37"/>
      <c r="M13" s="37"/>
      <c r="N13" s="37" t="s">
        <v>196</v>
      </c>
      <c r="O13" s="37" t="s">
        <v>197</v>
      </c>
      <c r="P13" s="37" t="s">
        <v>31</v>
      </c>
      <c r="Q13" s="37"/>
      <c r="R13" s="37" t="s">
        <v>31</v>
      </c>
      <c r="S13" s="37"/>
      <c r="T13" s="37" t="s">
        <v>31</v>
      </c>
      <c r="U13" s="37"/>
      <c r="V13" s="50" t="s">
        <v>202</v>
      </c>
      <c r="W13" s="37" t="s">
        <v>203</v>
      </c>
      <c r="X13" s="37" t="s">
        <v>31</v>
      </c>
      <c r="Y13" s="37"/>
      <c r="Z13" s="37" t="s">
        <v>31</v>
      </c>
      <c r="AA13" s="37"/>
      <c r="AB13" s="37" t="s">
        <v>31</v>
      </c>
      <c r="AC13" s="37"/>
      <c r="AD13" s="37" t="s">
        <v>31</v>
      </c>
      <c r="AE13" s="37"/>
      <c r="AH13" s="17"/>
      <c r="AI13" s="17" t="b">
        <f t="shared" si="3"/>
        <v>1</v>
      </c>
      <c r="AJ13" s="17" t="b">
        <f t="shared" si="4"/>
        <v>1</v>
      </c>
      <c r="AK13" s="17" t="str">
        <f t="shared" si="5"/>
        <v>EM00012371</v>
      </c>
    </row>
    <row r="14" spans="1:37" ht="15" customHeight="1" x14ac:dyDescent="0.25">
      <c r="A14" s="75" t="str">
        <f>_xlfn.XLOOKUP(C14,[1]Sheet2!$D:$D,[1]Sheet2!$C:$C)</f>
        <v>EM00015621</v>
      </c>
      <c r="B14" s="37">
        <v>1311</v>
      </c>
      <c r="C14" s="37" t="s">
        <v>82</v>
      </c>
      <c r="D14" s="37">
        <v>1</v>
      </c>
      <c r="E14" s="47" t="s">
        <v>205</v>
      </c>
      <c r="F14" s="48">
        <v>46266</v>
      </c>
      <c r="G14" s="48">
        <v>46295</v>
      </c>
      <c r="H14" s="37" t="s">
        <v>168</v>
      </c>
      <c r="I14" s="37" t="s">
        <v>82</v>
      </c>
      <c r="J14" s="49" t="s">
        <v>173</v>
      </c>
      <c r="K14" s="49" t="s">
        <v>87</v>
      </c>
      <c r="L14" s="37"/>
      <c r="M14" s="37"/>
      <c r="N14" s="37" t="s">
        <v>196</v>
      </c>
      <c r="O14" s="37" t="s">
        <v>197</v>
      </c>
      <c r="P14" s="37" t="s">
        <v>31</v>
      </c>
      <c r="Q14" s="37"/>
      <c r="R14" s="37" t="s">
        <v>31</v>
      </c>
      <c r="S14" s="37"/>
      <c r="T14" s="37" t="s">
        <v>31</v>
      </c>
      <c r="U14" s="37"/>
      <c r="V14" s="50" t="s">
        <v>202</v>
      </c>
      <c r="W14" s="37" t="s">
        <v>203</v>
      </c>
      <c r="X14" s="37" t="s">
        <v>31</v>
      </c>
      <c r="Y14" s="37"/>
      <c r="Z14" s="37" t="s">
        <v>31</v>
      </c>
      <c r="AA14" s="37"/>
      <c r="AB14" s="37" t="s">
        <v>31</v>
      </c>
      <c r="AC14" s="37"/>
      <c r="AD14" s="37" t="s">
        <v>31</v>
      </c>
      <c r="AE14" s="37"/>
      <c r="AH14" s="17"/>
      <c r="AI14" s="17" t="b">
        <f t="shared" si="3"/>
        <v>1</v>
      </c>
      <c r="AJ14" s="17" t="b">
        <f t="shared" si="4"/>
        <v>1</v>
      </c>
      <c r="AK14" s="17" t="str">
        <f t="shared" si="5"/>
        <v>EM00015661</v>
      </c>
    </row>
    <row r="15" spans="1:37" ht="15" customHeight="1" x14ac:dyDescent="0.25">
      <c r="A15" s="75" t="str">
        <f>_xlfn.XLOOKUP(C15,[1]Sheet2!$D:$D,[1]Sheet2!$C:$C)</f>
        <v>EM00015606</v>
      </c>
      <c r="B15" s="37">
        <v>1311</v>
      </c>
      <c r="C15" s="37" t="s">
        <v>83</v>
      </c>
      <c r="D15" s="37">
        <v>1</v>
      </c>
      <c r="E15" s="47" t="s">
        <v>205</v>
      </c>
      <c r="F15" s="48">
        <v>46266</v>
      </c>
      <c r="G15" s="48">
        <v>46295</v>
      </c>
      <c r="H15" s="37" t="s">
        <v>169</v>
      </c>
      <c r="I15" s="37" t="s">
        <v>83</v>
      </c>
      <c r="J15" s="49" t="s">
        <v>173</v>
      </c>
      <c r="K15" s="49" t="s">
        <v>87</v>
      </c>
      <c r="L15" s="37"/>
      <c r="M15" s="37"/>
      <c r="N15" s="37" t="s">
        <v>196</v>
      </c>
      <c r="O15" s="37" t="s">
        <v>197</v>
      </c>
      <c r="P15" s="37" t="s">
        <v>31</v>
      </c>
      <c r="Q15" s="37"/>
      <c r="R15" s="37" t="s">
        <v>31</v>
      </c>
      <c r="S15" s="37"/>
      <c r="T15" s="37" t="s">
        <v>31</v>
      </c>
      <c r="U15" s="37"/>
      <c r="V15" s="50" t="s">
        <v>202</v>
      </c>
      <c r="W15" s="37" t="s">
        <v>203</v>
      </c>
      <c r="X15" s="37" t="s">
        <v>31</v>
      </c>
      <c r="Y15" s="37"/>
      <c r="Z15" s="37" t="s">
        <v>31</v>
      </c>
      <c r="AA15" s="37"/>
      <c r="AB15" s="37" t="s">
        <v>31</v>
      </c>
      <c r="AC15" s="37"/>
      <c r="AD15" s="37" t="s">
        <v>31</v>
      </c>
      <c r="AE15" s="37"/>
      <c r="AH15" s="17"/>
      <c r="AI15" s="17" t="b">
        <f t="shared" si="3"/>
        <v>1</v>
      </c>
      <c r="AJ15" s="17" t="b">
        <f t="shared" si="4"/>
        <v>1</v>
      </c>
      <c r="AK15" s="17" t="str">
        <f t="shared" si="5"/>
        <v>EM00015661</v>
      </c>
    </row>
    <row r="16" spans="1:37" ht="15" customHeight="1" x14ac:dyDescent="0.25">
      <c r="A16" s="75" t="str">
        <f>_xlfn.XLOOKUP(C16,[1]Sheet2!$D:$D,[1]Sheet2!$C:$C)</f>
        <v>EM00016045</v>
      </c>
      <c r="B16" s="37">
        <v>1311</v>
      </c>
      <c r="C16" s="37" t="s">
        <v>84</v>
      </c>
      <c r="D16" s="37">
        <v>1</v>
      </c>
      <c r="E16" s="47" t="s">
        <v>205</v>
      </c>
      <c r="F16" s="48">
        <v>46266</v>
      </c>
      <c r="G16" s="48">
        <v>46295</v>
      </c>
      <c r="H16" s="37" t="s">
        <v>278</v>
      </c>
      <c r="I16" s="37" t="s">
        <v>84</v>
      </c>
      <c r="J16" s="49" t="s">
        <v>173</v>
      </c>
      <c r="K16" s="49" t="s">
        <v>87</v>
      </c>
      <c r="L16" s="37"/>
      <c r="M16" s="37"/>
      <c r="N16" s="37" t="s">
        <v>196</v>
      </c>
      <c r="O16" s="37" t="s">
        <v>197</v>
      </c>
      <c r="P16" s="37" t="s">
        <v>31</v>
      </c>
      <c r="Q16" s="37"/>
      <c r="R16" s="37" t="s">
        <v>31</v>
      </c>
      <c r="S16" s="37"/>
      <c r="T16" s="37" t="s">
        <v>31</v>
      </c>
      <c r="U16" s="37"/>
      <c r="V16" s="50" t="s">
        <v>202</v>
      </c>
      <c r="W16" s="37" t="s">
        <v>203</v>
      </c>
      <c r="X16" s="37" t="s">
        <v>31</v>
      </c>
      <c r="Y16" s="37"/>
      <c r="Z16" s="37" t="s">
        <v>31</v>
      </c>
      <c r="AA16" s="37"/>
      <c r="AB16" s="37" t="s">
        <v>31</v>
      </c>
      <c r="AC16" s="37"/>
      <c r="AD16" s="37" t="s">
        <v>31</v>
      </c>
      <c r="AE16" s="37"/>
      <c r="AH16" s="17"/>
      <c r="AI16" s="17" t="b">
        <f t="shared" si="3"/>
        <v>1</v>
      </c>
      <c r="AJ16" s="17" t="b">
        <f t="shared" si="4"/>
        <v>1</v>
      </c>
      <c r="AK16" s="17" t="str">
        <f t="shared" si="5"/>
        <v>EM00015661</v>
      </c>
    </row>
    <row r="17" spans="1:37" ht="15" customHeight="1" x14ac:dyDescent="0.25">
      <c r="A17" s="75" t="str">
        <f>_xlfn.XLOOKUP(C17,[1]Sheet2!$D:$D,[1]Sheet2!$C:$C)</f>
        <v>EM00000000</v>
      </c>
      <c r="B17" s="37">
        <v>1311</v>
      </c>
      <c r="C17" s="51" t="s">
        <v>85</v>
      </c>
      <c r="D17" s="37">
        <v>1</v>
      </c>
      <c r="E17" s="47" t="s">
        <v>205</v>
      </c>
      <c r="F17" s="48">
        <v>46266</v>
      </c>
      <c r="G17" s="48">
        <v>46295</v>
      </c>
      <c r="H17" s="37" t="s">
        <v>31</v>
      </c>
      <c r="I17" s="51" t="s">
        <v>85</v>
      </c>
      <c r="J17" s="49" t="s">
        <v>173</v>
      </c>
      <c r="K17" s="49" t="s">
        <v>87</v>
      </c>
      <c r="L17" s="37"/>
      <c r="M17" s="37"/>
      <c r="N17" s="37" t="s">
        <v>196</v>
      </c>
      <c r="O17" s="37" t="s">
        <v>197</v>
      </c>
      <c r="P17" s="37" t="s">
        <v>31</v>
      </c>
      <c r="Q17" s="37"/>
      <c r="R17" s="37" t="s">
        <v>31</v>
      </c>
      <c r="S17" s="37"/>
      <c r="T17" s="37" t="s">
        <v>31</v>
      </c>
      <c r="U17" s="37"/>
      <c r="V17" s="50" t="s">
        <v>202</v>
      </c>
      <c r="W17" s="37" t="s">
        <v>203</v>
      </c>
      <c r="X17" s="37" t="s">
        <v>31</v>
      </c>
      <c r="Y17" s="37"/>
      <c r="Z17" s="37" t="s">
        <v>31</v>
      </c>
      <c r="AA17" s="37"/>
      <c r="AB17" s="37" t="s">
        <v>31</v>
      </c>
      <c r="AC17" s="37"/>
      <c r="AD17" s="37" t="s">
        <v>31</v>
      </c>
      <c r="AE17" s="37"/>
      <c r="AH17" s="17"/>
      <c r="AI17" s="17" t="b">
        <f t="shared" si="3"/>
        <v>1</v>
      </c>
      <c r="AJ17" s="17" t="b">
        <f t="shared" si="4"/>
        <v>1</v>
      </c>
      <c r="AK17" s="17" t="str">
        <f t="shared" si="5"/>
        <v>EM00015661</v>
      </c>
    </row>
    <row r="18" spans="1:37" ht="15" customHeight="1" x14ac:dyDescent="0.25">
      <c r="A18" s="75" t="str">
        <f>_xlfn.XLOOKUP(C18,[1]Sheet2!$D:$D,[1]Sheet2!$C:$C)</f>
        <v>EM00000000</v>
      </c>
      <c r="B18" s="37">
        <v>1311</v>
      </c>
      <c r="C18" s="51" t="s">
        <v>86</v>
      </c>
      <c r="D18" s="37">
        <v>1</v>
      </c>
      <c r="E18" s="47" t="s">
        <v>205</v>
      </c>
      <c r="F18" s="48">
        <v>46266</v>
      </c>
      <c r="G18" s="48">
        <v>46295</v>
      </c>
      <c r="H18" s="37" t="s">
        <v>31</v>
      </c>
      <c r="I18" s="51" t="s">
        <v>86</v>
      </c>
      <c r="J18" s="49" t="s">
        <v>173</v>
      </c>
      <c r="K18" s="49" t="s">
        <v>87</v>
      </c>
      <c r="L18" s="37"/>
      <c r="M18" s="37"/>
      <c r="N18" s="37" t="s">
        <v>196</v>
      </c>
      <c r="O18" s="37" t="s">
        <v>197</v>
      </c>
      <c r="P18" s="37" t="s">
        <v>31</v>
      </c>
      <c r="Q18" s="37"/>
      <c r="R18" s="37" t="s">
        <v>31</v>
      </c>
      <c r="S18" s="37"/>
      <c r="T18" s="37" t="s">
        <v>31</v>
      </c>
      <c r="U18" s="37"/>
      <c r="V18" s="50" t="s">
        <v>202</v>
      </c>
      <c r="W18" s="37" t="s">
        <v>203</v>
      </c>
      <c r="X18" s="37" t="s">
        <v>31</v>
      </c>
      <c r="Y18" s="37"/>
      <c r="Z18" s="37" t="s">
        <v>31</v>
      </c>
      <c r="AA18" s="37"/>
      <c r="AB18" s="37" t="s">
        <v>31</v>
      </c>
      <c r="AC18" s="37"/>
      <c r="AD18" s="37" t="s">
        <v>31</v>
      </c>
      <c r="AE18" s="37"/>
      <c r="AH18" s="17"/>
      <c r="AI18" s="17" t="b">
        <f t="shared" si="3"/>
        <v>1</v>
      </c>
      <c r="AJ18" s="17" t="b">
        <f t="shared" si="4"/>
        <v>1</v>
      </c>
      <c r="AK18" s="17" t="str">
        <f t="shared" si="5"/>
        <v>EM00015661</v>
      </c>
    </row>
    <row r="19" spans="1:37" ht="15" customHeight="1" x14ac:dyDescent="0.25">
      <c r="A19" s="75" t="str">
        <f>_xlfn.XLOOKUP(C19,[1]Sheet2!$D:$D,[1]Sheet2!$C:$C)</f>
        <v>EM00015661</v>
      </c>
      <c r="B19" s="37">
        <v>1311</v>
      </c>
      <c r="C19" s="49" t="s">
        <v>87</v>
      </c>
      <c r="D19" s="37">
        <v>2</v>
      </c>
      <c r="E19" s="47" t="s">
        <v>205</v>
      </c>
      <c r="F19" s="48">
        <v>46266</v>
      </c>
      <c r="G19" s="48">
        <v>46295</v>
      </c>
      <c r="H19" s="37"/>
      <c r="I19" s="37"/>
      <c r="J19" s="49" t="s">
        <v>173</v>
      </c>
      <c r="K19" s="49" t="s">
        <v>87</v>
      </c>
      <c r="L19" s="37"/>
      <c r="M19" s="37"/>
      <c r="N19" s="37" t="s">
        <v>196</v>
      </c>
      <c r="O19" s="37" t="s">
        <v>197</v>
      </c>
      <c r="P19" s="37" t="s">
        <v>31</v>
      </c>
      <c r="Q19" s="37"/>
      <c r="R19" s="37" t="s">
        <v>31</v>
      </c>
      <c r="S19" s="37"/>
      <c r="T19" s="37" t="s">
        <v>31</v>
      </c>
      <c r="U19" s="37"/>
      <c r="V19" s="50" t="s">
        <v>202</v>
      </c>
      <c r="W19" s="37" t="s">
        <v>203</v>
      </c>
      <c r="X19" s="37" t="s">
        <v>31</v>
      </c>
      <c r="Y19" s="37"/>
      <c r="Z19" s="37" t="s">
        <v>31</v>
      </c>
      <c r="AA19" s="37"/>
      <c r="AB19" s="37" t="s">
        <v>31</v>
      </c>
      <c r="AC19" s="37"/>
      <c r="AD19" s="37" t="s">
        <v>31</v>
      </c>
      <c r="AE19" s="37"/>
      <c r="AH19" s="17"/>
      <c r="AI19" s="17" t="b">
        <f t="shared" si="3"/>
        <v>1</v>
      </c>
      <c r="AJ19" s="17" t="b">
        <f t="shared" si="4"/>
        <v>1</v>
      </c>
      <c r="AK19" s="17" t="str">
        <f t="shared" si="5"/>
        <v>EM00012371</v>
      </c>
    </row>
    <row r="20" spans="1:37" ht="15" customHeight="1" x14ac:dyDescent="0.25">
      <c r="A20" s="75" t="str">
        <f>_xlfn.XLOOKUP(C20,[1]Sheet2!$D:$D,[1]Sheet2!$C:$C)</f>
        <v>EM00015983</v>
      </c>
      <c r="B20" s="37">
        <v>1310</v>
      </c>
      <c r="C20" s="51" t="s">
        <v>64</v>
      </c>
      <c r="D20" s="37">
        <v>1</v>
      </c>
      <c r="E20" s="47" t="s">
        <v>205</v>
      </c>
      <c r="F20" s="48">
        <v>46266</v>
      </c>
      <c r="G20" s="48">
        <v>46295</v>
      </c>
      <c r="H20" s="37" t="s">
        <v>280</v>
      </c>
      <c r="I20" s="51" t="s">
        <v>64</v>
      </c>
      <c r="J20" s="49" t="s">
        <v>159</v>
      </c>
      <c r="K20" s="49" t="s">
        <v>70</v>
      </c>
      <c r="L20" s="37"/>
      <c r="M20" s="37"/>
      <c r="N20" s="37" t="s">
        <v>196</v>
      </c>
      <c r="O20" s="37" t="s">
        <v>197</v>
      </c>
      <c r="P20" s="37" t="s">
        <v>31</v>
      </c>
      <c r="Q20" s="37"/>
      <c r="R20" s="37" t="s">
        <v>31</v>
      </c>
      <c r="S20" s="37"/>
      <c r="T20" s="37" t="s">
        <v>31</v>
      </c>
      <c r="U20" s="37"/>
      <c r="V20" s="50" t="s">
        <v>202</v>
      </c>
      <c r="W20" s="37" t="s">
        <v>203</v>
      </c>
      <c r="X20" s="37" t="s">
        <v>31</v>
      </c>
      <c r="Y20" s="37"/>
      <c r="Z20" s="37" t="s">
        <v>31</v>
      </c>
      <c r="AA20" s="37"/>
      <c r="AB20" s="37" t="s">
        <v>31</v>
      </c>
      <c r="AC20" s="37"/>
      <c r="AD20" s="37" t="s">
        <v>31</v>
      </c>
      <c r="AE20" s="37"/>
      <c r="AH20" s="17"/>
      <c r="AI20" s="17" t="b">
        <f t="shared" si="3"/>
        <v>1</v>
      </c>
      <c r="AJ20" s="17" t="b">
        <f t="shared" si="4"/>
        <v>1</v>
      </c>
      <c r="AK20" s="17" t="str">
        <f t="shared" si="5"/>
        <v>EM00007671</v>
      </c>
    </row>
    <row r="21" spans="1:37" ht="15" customHeight="1" x14ac:dyDescent="0.25">
      <c r="A21" s="75" t="str">
        <f>_xlfn.XLOOKUP(C21,[1]Sheet2!$D:$D,[1]Sheet2!$C:$C)</f>
        <v>EM00015722</v>
      </c>
      <c r="B21" s="37">
        <v>1310</v>
      </c>
      <c r="C21" s="51" t="s">
        <v>65</v>
      </c>
      <c r="D21" s="37">
        <v>1</v>
      </c>
      <c r="E21" s="47" t="s">
        <v>205</v>
      </c>
      <c r="F21" s="48">
        <v>46266</v>
      </c>
      <c r="G21" s="48">
        <v>46295</v>
      </c>
      <c r="H21" s="37" t="s">
        <v>156</v>
      </c>
      <c r="I21" s="51" t="s">
        <v>65</v>
      </c>
      <c r="J21" s="49" t="s">
        <v>159</v>
      </c>
      <c r="K21" s="49" t="s">
        <v>70</v>
      </c>
      <c r="L21" s="37"/>
      <c r="M21" s="37"/>
      <c r="N21" s="37" t="s">
        <v>196</v>
      </c>
      <c r="O21" s="37" t="s">
        <v>197</v>
      </c>
      <c r="P21" s="37" t="s">
        <v>31</v>
      </c>
      <c r="Q21" s="37"/>
      <c r="R21" s="37" t="s">
        <v>31</v>
      </c>
      <c r="S21" s="37"/>
      <c r="T21" s="37" t="s">
        <v>31</v>
      </c>
      <c r="U21" s="37"/>
      <c r="V21" s="50" t="s">
        <v>202</v>
      </c>
      <c r="W21" s="37" t="s">
        <v>203</v>
      </c>
      <c r="X21" s="37" t="s">
        <v>31</v>
      </c>
      <c r="Y21" s="37"/>
      <c r="Z21" s="37" t="s">
        <v>31</v>
      </c>
      <c r="AA21" s="37"/>
      <c r="AB21" s="37" t="s">
        <v>31</v>
      </c>
      <c r="AC21" s="37"/>
      <c r="AD21" s="37" t="s">
        <v>31</v>
      </c>
      <c r="AE21" s="37"/>
      <c r="AH21" s="17"/>
      <c r="AI21" s="17" t="b">
        <f t="shared" si="3"/>
        <v>1</v>
      </c>
      <c r="AJ21" s="17" t="b">
        <f t="shared" si="4"/>
        <v>1</v>
      </c>
      <c r="AK21" s="17" t="str">
        <f t="shared" si="5"/>
        <v>EM00007671</v>
      </c>
    </row>
    <row r="22" spans="1:37" ht="15" customHeight="1" x14ac:dyDescent="0.25">
      <c r="A22" s="75" t="str">
        <f>_xlfn.XLOOKUP(C22,[1]Sheet2!$D:$D,[1]Sheet2!$C:$C)</f>
        <v>EM00016052</v>
      </c>
      <c r="B22" s="37">
        <v>1310</v>
      </c>
      <c r="C22" s="51" t="s">
        <v>66</v>
      </c>
      <c r="D22" s="37">
        <v>1</v>
      </c>
      <c r="E22" s="47" t="s">
        <v>205</v>
      </c>
      <c r="F22" s="48">
        <v>46266</v>
      </c>
      <c r="G22" s="48">
        <v>46295</v>
      </c>
      <c r="H22" s="37" t="s">
        <v>281</v>
      </c>
      <c r="I22" s="51" t="s">
        <v>66</v>
      </c>
      <c r="J22" s="49" t="s">
        <v>159</v>
      </c>
      <c r="K22" s="49" t="s">
        <v>70</v>
      </c>
      <c r="L22" s="37"/>
      <c r="M22" s="37"/>
      <c r="N22" s="37" t="s">
        <v>196</v>
      </c>
      <c r="O22" s="37" t="s">
        <v>197</v>
      </c>
      <c r="P22" s="37" t="s">
        <v>31</v>
      </c>
      <c r="Q22" s="37"/>
      <c r="R22" s="37" t="s">
        <v>31</v>
      </c>
      <c r="S22" s="37"/>
      <c r="T22" s="37" t="s">
        <v>31</v>
      </c>
      <c r="U22" s="37"/>
      <c r="V22" s="50" t="s">
        <v>202</v>
      </c>
      <c r="W22" s="37" t="s">
        <v>203</v>
      </c>
      <c r="X22" s="37" t="s">
        <v>31</v>
      </c>
      <c r="Y22" s="37"/>
      <c r="Z22" s="37" t="s">
        <v>31</v>
      </c>
      <c r="AA22" s="37"/>
      <c r="AB22" s="37" t="s">
        <v>31</v>
      </c>
      <c r="AC22" s="37"/>
      <c r="AD22" s="37" t="s">
        <v>31</v>
      </c>
      <c r="AE22" s="37"/>
      <c r="AH22" s="17"/>
      <c r="AI22" s="17" t="b">
        <f t="shared" si="3"/>
        <v>1</v>
      </c>
      <c r="AJ22" s="17" t="b">
        <f t="shared" si="4"/>
        <v>1</v>
      </c>
      <c r="AK22" s="17" t="str">
        <f t="shared" si="5"/>
        <v>EM00007671</v>
      </c>
    </row>
    <row r="23" spans="1:37" ht="15" customHeight="1" x14ac:dyDescent="0.25">
      <c r="A23" s="75" t="str">
        <f>_xlfn.XLOOKUP(C23,[1]Sheet2!$D:$D,[1]Sheet2!$C:$C)</f>
        <v>EM00015723</v>
      </c>
      <c r="B23" s="37">
        <v>1310</v>
      </c>
      <c r="C23" s="51" t="s">
        <v>67</v>
      </c>
      <c r="D23" s="37">
        <v>1</v>
      </c>
      <c r="E23" s="47" t="s">
        <v>205</v>
      </c>
      <c r="F23" s="48">
        <v>46266</v>
      </c>
      <c r="G23" s="48">
        <v>46295</v>
      </c>
      <c r="H23" s="37" t="s">
        <v>157</v>
      </c>
      <c r="I23" s="51" t="s">
        <v>67</v>
      </c>
      <c r="J23" s="49" t="s">
        <v>159</v>
      </c>
      <c r="K23" s="49" t="s">
        <v>70</v>
      </c>
      <c r="L23" s="37"/>
      <c r="M23" s="37"/>
      <c r="N23" s="37" t="s">
        <v>196</v>
      </c>
      <c r="O23" s="37" t="s">
        <v>197</v>
      </c>
      <c r="P23" s="37" t="s">
        <v>31</v>
      </c>
      <c r="Q23" s="37"/>
      <c r="R23" s="37" t="s">
        <v>31</v>
      </c>
      <c r="S23" s="37"/>
      <c r="T23" s="37" t="s">
        <v>31</v>
      </c>
      <c r="U23" s="37"/>
      <c r="V23" s="50" t="s">
        <v>202</v>
      </c>
      <c r="W23" s="37" t="s">
        <v>203</v>
      </c>
      <c r="X23" s="37" t="s">
        <v>31</v>
      </c>
      <c r="Y23" s="37"/>
      <c r="Z23" s="37" t="s">
        <v>31</v>
      </c>
      <c r="AA23" s="37"/>
      <c r="AB23" s="37" t="s">
        <v>31</v>
      </c>
      <c r="AC23" s="37"/>
      <c r="AD23" s="37" t="s">
        <v>31</v>
      </c>
      <c r="AE23" s="37"/>
      <c r="AH23" s="17"/>
      <c r="AI23" s="17" t="b">
        <f t="shared" si="3"/>
        <v>1</v>
      </c>
      <c r="AJ23" s="17" t="b">
        <f t="shared" si="4"/>
        <v>1</v>
      </c>
      <c r="AK23" s="17" t="str">
        <f t="shared" si="5"/>
        <v>EM00007671</v>
      </c>
    </row>
    <row r="24" spans="1:37" ht="15" customHeight="1" x14ac:dyDescent="0.25">
      <c r="A24" s="75" t="str">
        <f>_xlfn.XLOOKUP(C24,[1]Sheet2!$D:$D,[1]Sheet2!$C:$C)</f>
        <v>EM00015582</v>
      </c>
      <c r="B24" s="37">
        <v>1310</v>
      </c>
      <c r="C24" s="51" t="s">
        <v>68</v>
      </c>
      <c r="D24" s="37">
        <v>1</v>
      </c>
      <c r="E24" s="47" t="s">
        <v>205</v>
      </c>
      <c r="F24" s="48">
        <v>46266</v>
      </c>
      <c r="G24" s="48">
        <v>46295</v>
      </c>
      <c r="H24" s="37" t="s">
        <v>158</v>
      </c>
      <c r="I24" s="51" t="s">
        <v>68</v>
      </c>
      <c r="J24" s="49" t="s">
        <v>159</v>
      </c>
      <c r="K24" s="49" t="s">
        <v>70</v>
      </c>
      <c r="L24" s="37"/>
      <c r="M24" s="37"/>
      <c r="N24" s="37" t="s">
        <v>196</v>
      </c>
      <c r="O24" s="37" t="s">
        <v>197</v>
      </c>
      <c r="P24" s="37" t="s">
        <v>31</v>
      </c>
      <c r="Q24" s="37"/>
      <c r="R24" s="37" t="s">
        <v>31</v>
      </c>
      <c r="S24" s="37"/>
      <c r="T24" s="37" t="s">
        <v>31</v>
      </c>
      <c r="U24" s="37"/>
      <c r="V24" s="50" t="s">
        <v>202</v>
      </c>
      <c r="W24" s="37" t="s">
        <v>203</v>
      </c>
      <c r="X24" s="37" t="s">
        <v>31</v>
      </c>
      <c r="Y24" s="37"/>
      <c r="Z24" s="37" t="s">
        <v>31</v>
      </c>
      <c r="AA24" s="37"/>
      <c r="AB24" s="37" t="s">
        <v>31</v>
      </c>
      <c r="AC24" s="37"/>
      <c r="AD24" s="37" t="s">
        <v>31</v>
      </c>
      <c r="AE24" s="37"/>
      <c r="AH24" s="17"/>
      <c r="AI24" s="17" t="b">
        <f t="shared" si="3"/>
        <v>1</v>
      </c>
      <c r="AJ24" s="17" t="b">
        <f t="shared" si="4"/>
        <v>1</v>
      </c>
      <c r="AK24" s="17" t="str">
        <f t="shared" si="5"/>
        <v>EM00007671</v>
      </c>
    </row>
    <row r="25" spans="1:37" ht="15" customHeight="1" x14ac:dyDescent="0.25">
      <c r="A25" s="75" t="str">
        <f>_xlfn.XLOOKUP(C25,[1]Sheet2!$D:$D,[1]Sheet2!$C:$C)</f>
        <v>EM00016053</v>
      </c>
      <c r="B25" s="37">
        <v>1310</v>
      </c>
      <c r="C25" s="51" t="s">
        <v>69</v>
      </c>
      <c r="D25" s="37">
        <v>1</v>
      </c>
      <c r="E25" s="47" t="s">
        <v>205</v>
      </c>
      <c r="F25" s="48">
        <v>46266</v>
      </c>
      <c r="G25" s="48">
        <v>46295</v>
      </c>
      <c r="H25" s="37" t="s">
        <v>282</v>
      </c>
      <c r="I25" s="51" t="s">
        <v>69</v>
      </c>
      <c r="J25" s="49" t="s">
        <v>159</v>
      </c>
      <c r="K25" s="49" t="s">
        <v>70</v>
      </c>
      <c r="L25" s="37"/>
      <c r="M25" s="37"/>
      <c r="N25" s="37" t="s">
        <v>196</v>
      </c>
      <c r="O25" s="37" t="s">
        <v>197</v>
      </c>
      <c r="P25" s="37" t="s">
        <v>31</v>
      </c>
      <c r="Q25" s="37"/>
      <c r="R25" s="37" t="s">
        <v>31</v>
      </c>
      <c r="S25" s="37"/>
      <c r="T25" s="37" t="s">
        <v>31</v>
      </c>
      <c r="U25" s="37"/>
      <c r="V25" s="50" t="s">
        <v>202</v>
      </c>
      <c r="W25" s="37" t="s">
        <v>203</v>
      </c>
      <c r="X25" s="37" t="s">
        <v>31</v>
      </c>
      <c r="Y25" s="37"/>
      <c r="Z25" s="37" t="s">
        <v>31</v>
      </c>
      <c r="AA25" s="37"/>
      <c r="AB25" s="37" t="s">
        <v>31</v>
      </c>
      <c r="AC25" s="37"/>
      <c r="AD25" s="37" t="s">
        <v>31</v>
      </c>
      <c r="AE25" s="37"/>
      <c r="AH25" s="17"/>
      <c r="AI25" s="17" t="b">
        <f t="shared" si="3"/>
        <v>1</v>
      </c>
      <c r="AJ25" s="17" t="b">
        <f t="shared" si="4"/>
        <v>1</v>
      </c>
      <c r="AK25" s="17" t="str">
        <f t="shared" si="5"/>
        <v>EM00007671</v>
      </c>
    </row>
    <row r="26" spans="1:37" ht="15" customHeight="1" x14ac:dyDescent="0.25">
      <c r="A26" s="75" t="str">
        <f>_xlfn.XLOOKUP(C26,[1]Sheet2!$D:$D,[1]Sheet2!$C:$C)</f>
        <v>EM00007671</v>
      </c>
      <c r="B26" s="37">
        <v>1310</v>
      </c>
      <c r="C26" s="49" t="s">
        <v>70</v>
      </c>
      <c r="D26" s="37">
        <v>2</v>
      </c>
      <c r="E26" s="47" t="s">
        <v>205</v>
      </c>
      <c r="F26" s="48">
        <v>46266</v>
      </c>
      <c r="G26" s="48">
        <v>46295</v>
      </c>
      <c r="H26" s="37"/>
      <c r="I26" s="37"/>
      <c r="J26" s="49" t="s">
        <v>159</v>
      </c>
      <c r="K26" s="49" t="s">
        <v>70</v>
      </c>
      <c r="L26" s="37"/>
      <c r="M26" s="37"/>
      <c r="N26" s="37" t="s">
        <v>196</v>
      </c>
      <c r="O26" s="37" t="s">
        <v>197</v>
      </c>
      <c r="P26" s="37" t="s">
        <v>31</v>
      </c>
      <c r="Q26" s="37"/>
      <c r="R26" s="37" t="s">
        <v>31</v>
      </c>
      <c r="S26" s="37"/>
      <c r="T26" s="37" t="s">
        <v>31</v>
      </c>
      <c r="U26" s="37"/>
      <c r="V26" s="50" t="s">
        <v>202</v>
      </c>
      <c r="W26" s="37" t="s">
        <v>203</v>
      </c>
      <c r="X26" s="37" t="s">
        <v>31</v>
      </c>
      <c r="Y26" s="37"/>
      <c r="Z26" s="37" t="s">
        <v>31</v>
      </c>
      <c r="AA26" s="37"/>
      <c r="AB26" s="37" t="s">
        <v>31</v>
      </c>
      <c r="AC26" s="37"/>
      <c r="AD26" s="37" t="s">
        <v>31</v>
      </c>
      <c r="AE26" s="37"/>
      <c r="AH26" s="17"/>
      <c r="AI26" s="17" t="b">
        <f t="shared" si="3"/>
        <v>1</v>
      </c>
      <c r="AJ26" s="17" t="b">
        <f t="shared" si="4"/>
        <v>1</v>
      </c>
      <c r="AK26" s="17" t="str">
        <f t="shared" si="5"/>
        <v>EM00012371</v>
      </c>
    </row>
    <row r="27" spans="1:37" ht="15" customHeight="1" x14ac:dyDescent="0.25">
      <c r="A27" s="75" t="str">
        <f>_xlfn.XLOOKUP(C27,[1]Sheet2!$D:$D,[1]Sheet2!$C:$C)</f>
        <v>EM00015734</v>
      </c>
      <c r="B27" s="37">
        <v>1311</v>
      </c>
      <c r="C27" s="49" t="s">
        <v>142</v>
      </c>
      <c r="D27" s="37">
        <v>1</v>
      </c>
      <c r="E27" s="47" t="s">
        <v>205</v>
      </c>
      <c r="F27" s="48">
        <v>46266</v>
      </c>
      <c r="G27" s="48">
        <v>46295</v>
      </c>
      <c r="H27" s="37" t="s">
        <v>171</v>
      </c>
      <c r="I27" s="37" t="s">
        <v>142</v>
      </c>
      <c r="J27" s="37" t="s">
        <v>31</v>
      </c>
      <c r="K27" s="49" t="s">
        <v>922</v>
      </c>
      <c r="L27" s="37"/>
      <c r="M27" s="37"/>
      <c r="N27" s="37" t="s">
        <v>196</v>
      </c>
      <c r="O27" s="37" t="s">
        <v>197</v>
      </c>
      <c r="P27" s="37" t="s">
        <v>31</v>
      </c>
      <c r="Q27" s="37"/>
      <c r="R27" s="37" t="s">
        <v>31</v>
      </c>
      <c r="S27" s="37"/>
      <c r="T27" s="37" t="s">
        <v>31</v>
      </c>
      <c r="U27" s="37"/>
      <c r="V27" s="50" t="s">
        <v>202</v>
      </c>
      <c r="W27" s="37" t="s">
        <v>203</v>
      </c>
      <c r="X27" s="37" t="s">
        <v>31</v>
      </c>
      <c r="Y27" s="37"/>
      <c r="Z27" s="37" t="s">
        <v>31</v>
      </c>
      <c r="AA27" s="37"/>
      <c r="AB27" s="37" t="s">
        <v>31</v>
      </c>
      <c r="AC27" s="37"/>
      <c r="AD27" s="37" t="s">
        <v>31</v>
      </c>
      <c r="AE27" s="37"/>
      <c r="AH27" s="17"/>
      <c r="AI27" s="17" t="b">
        <f t="shared" si="3"/>
        <v>1</v>
      </c>
      <c r="AJ27" s="17" t="b">
        <f t="shared" si="4"/>
        <v>1</v>
      </c>
      <c r="AK27" s="17" t="str">
        <f t="shared" si="5"/>
        <v>EM00000000</v>
      </c>
    </row>
    <row r="28" spans="1:37" ht="15" customHeight="1" x14ac:dyDescent="0.25">
      <c r="A28" s="75" t="str">
        <f>_xlfn.XLOOKUP(C28,[1]Sheet2!$D:$D,[1]Sheet2!$C:$C)</f>
        <v>EM00015992</v>
      </c>
      <c r="B28" s="37">
        <v>1311</v>
      </c>
      <c r="C28" s="49" t="s">
        <v>696</v>
      </c>
      <c r="D28" s="37">
        <v>1</v>
      </c>
      <c r="E28" s="47" t="s">
        <v>205</v>
      </c>
      <c r="F28" s="48">
        <v>46266</v>
      </c>
      <c r="G28" s="48">
        <v>46295</v>
      </c>
      <c r="H28" s="37" t="s">
        <v>279</v>
      </c>
      <c r="I28" s="37" t="s">
        <v>696</v>
      </c>
      <c r="J28" s="37" t="s">
        <v>31</v>
      </c>
      <c r="K28" s="49" t="s">
        <v>922</v>
      </c>
      <c r="L28" s="37"/>
      <c r="M28" s="37"/>
      <c r="N28" s="37" t="s">
        <v>196</v>
      </c>
      <c r="O28" s="37" t="s">
        <v>197</v>
      </c>
      <c r="P28" s="37" t="s">
        <v>31</v>
      </c>
      <c r="Q28" s="37"/>
      <c r="R28" s="37" t="s">
        <v>31</v>
      </c>
      <c r="S28" s="37"/>
      <c r="T28" s="37" t="s">
        <v>31</v>
      </c>
      <c r="U28" s="37"/>
      <c r="V28" s="50" t="s">
        <v>202</v>
      </c>
      <c r="W28" s="37" t="s">
        <v>203</v>
      </c>
      <c r="X28" s="37" t="s">
        <v>31</v>
      </c>
      <c r="Y28" s="37"/>
      <c r="Z28" s="37" t="s">
        <v>31</v>
      </c>
      <c r="AA28" s="37"/>
      <c r="AB28" s="37" t="s">
        <v>31</v>
      </c>
      <c r="AC28" s="37"/>
      <c r="AD28" s="37" t="s">
        <v>31</v>
      </c>
      <c r="AE28" s="37"/>
      <c r="AH28" s="17"/>
      <c r="AI28" s="17" t="b">
        <f t="shared" si="3"/>
        <v>1</v>
      </c>
      <c r="AJ28" s="17" t="b">
        <f t="shared" si="4"/>
        <v>1</v>
      </c>
      <c r="AK28" s="17" t="str">
        <f t="shared" si="5"/>
        <v>EM00000000</v>
      </c>
    </row>
    <row r="29" spans="1:37" ht="15" customHeight="1" x14ac:dyDescent="0.25">
      <c r="A29" s="75" t="str">
        <f>_xlfn.XLOOKUP(C29,[1]Sheet2!$D:$D,[1]Sheet2!$C:$C)</f>
        <v>EM00015586</v>
      </c>
      <c r="B29" s="37">
        <v>1311</v>
      </c>
      <c r="C29" s="49" t="s">
        <v>697</v>
      </c>
      <c r="D29" s="37">
        <v>1</v>
      </c>
      <c r="E29" s="47" t="s">
        <v>205</v>
      </c>
      <c r="F29" s="48">
        <v>46266</v>
      </c>
      <c r="G29" s="48">
        <v>46295</v>
      </c>
      <c r="H29" s="37" t="s">
        <v>170</v>
      </c>
      <c r="I29" s="37" t="s">
        <v>697</v>
      </c>
      <c r="J29" s="37" t="s">
        <v>31</v>
      </c>
      <c r="K29" s="49" t="s">
        <v>922</v>
      </c>
      <c r="L29" s="37"/>
      <c r="M29" s="37"/>
      <c r="N29" s="37" t="s">
        <v>196</v>
      </c>
      <c r="O29" s="37" t="s">
        <v>197</v>
      </c>
      <c r="P29" s="37" t="s">
        <v>31</v>
      </c>
      <c r="Q29" s="37"/>
      <c r="R29" s="37" t="s">
        <v>31</v>
      </c>
      <c r="S29" s="37"/>
      <c r="T29" s="37" t="s">
        <v>31</v>
      </c>
      <c r="U29" s="37"/>
      <c r="V29" s="50" t="s">
        <v>202</v>
      </c>
      <c r="W29" s="37" t="s">
        <v>203</v>
      </c>
      <c r="X29" s="37" t="s">
        <v>31</v>
      </c>
      <c r="Y29" s="37"/>
      <c r="Z29" s="37" t="s">
        <v>31</v>
      </c>
      <c r="AA29" s="37"/>
      <c r="AB29" s="37" t="s">
        <v>31</v>
      </c>
      <c r="AC29" s="37"/>
      <c r="AD29" s="37" t="s">
        <v>31</v>
      </c>
      <c r="AE29" s="37"/>
      <c r="AH29" s="17"/>
      <c r="AI29" s="17" t="b">
        <f t="shared" si="3"/>
        <v>1</v>
      </c>
      <c r="AJ29" s="17" t="b">
        <f t="shared" si="4"/>
        <v>1</v>
      </c>
      <c r="AK29" s="17" t="str">
        <f t="shared" si="5"/>
        <v>EM00000000</v>
      </c>
    </row>
    <row r="30" spans="1:37" ht="15" customHeight="1" x14ac:dyDescent="0.25">
      <c r="A30" s="75" t="str">
        <f>_xlfn.XLOOKUP(C30,[1]Sheet2!$D:$D,[1]Sheet2!$C:$C)</f>
        <v>EM00015736</v>
      </c>
      <c r="B30" s="37">
        <v>1311</v>
      </c>
      <c r="C30" s="49" t="s">
        <v>698</v>
      </c>
      <c r="D30" s="37">
        <v>1</v>
      </c>
      <c r="E30" s="47" t="s">
        <v>205</v>
      </c>
      <c r="F30" s="48">
        <v>46266</v>
      </c>
      <c r="G30" s="48">
        <v>46295</v>
      </c>
      <c r="H30" s="37" t="s">
        <v>172</v>
      </c>
      <c r="I30" s="37" t="s">
        <v>698</v>
      </c>
      <c r="J30" s="37" t="s">
        <v>31</v>
      </c>
      <c r="K30" s="49" t="s">
        <v>922</v>
      </c>
      <c r="L30" s="37"/>
      <c r="M30" s="37"/>
      <c r="N30" s="37" t="s">
        <v>196</v>
      </c>
      <c r="O30" s="37" t="s">
        <v>197</v>
      </c>
      <c r="P30" s="37" t="s">
        <v>31</v>
      </c>
      <c r="Q30" s="37"/>
      <c r="R30" s="37" t="s">
        <v>31</v>
      </c>
      <c r="S30" s="37"/>
      <c r="T30" s="37" t="s">
        <v>31</v>
      </c>
      <c r="U30" s="37"/>
      <c r="V30" s="50" t="s">
        <v>202</v>
      </c>
      <c r="W30" s="37" t="s">
        <v>203</v>
      </c>
      <c r="X30" s="37" t="s">
        <v>31</v>
      </c>
      <c r="Y30" s="37"/>
      <c r="Z30" s="37" t="s">
        <v>31</v>
      </c>
      <c r="AA30" s="37"/>
      <c r="AB30" s="37" t="s">
        <v>31</v>
      </c>
      <c r="AC30" s="37"/>
      <c r="AD30" s="37" t="s">
        <v>31</v>
      </c>
      <c r="AE30" s="37"/>
      <c r="AH30" s="17"/>
      <c r="AI30" s="17" t="b">
        <f t="shared" si="3"/>
        <v>1</v>
      </c>
      <c r="AJ30" s="17" t="b">
        <f t="shared" si="4"/>
        <v>1</v>
      </c>
      <c r="AK30" s="17" t="str">
        <f t="shared" si="5"/>
        <v>EM00000000</v>
      </c>
    </row>
    <row r="31" spans="1:37" ht="15" customHeight="1" x14ac:dyDescent="0.25">
      <c r="A31" s="75" t="str">
        <f>_xlfn.XLOOKUP(C31,[1]Sheet2!$D:$D,[1]Sheet2!$C:$C)</f>
        <v>EM00000000</v>
      </c>
      <c r="B31" s="37">
        <v>1311</v>
      </c>
      <c r="C31" s="49" t="s">
        <v>922</v>
      </c>
      <c r="D31" s="37">
        <v>2</v>
      </c>
      <c r="E31" s="47" t="s">
        <v>205</v>
      </c>
      <c r="F31" s="48">
        <v>46266</v>
      </c>
      <c r="G31" s="48">
        <v>46295</v>
      </c>
      <c r="H31" s="37"/>
      <c r="I31" s="37"/>
      <c r="J31" s="37" t="s">
        <v>31</v>
      </c>
      <c r="K31" s="49" t="s">
        <v>922</v>
      </c>
      <c r="L31" s="37"/>
      <c r="M31" s="37"/>
      <c r="N31" s="37" t="s">
        <v>196</v>
      </c>
      <c r="O31" s="37" t="s">
        <v>197</v>
      </c>
      <c r="P31" s="37" t="s">
        <v>31</v>
      </c>
      <c r="Q31" s="37"/>
      <c r="R31" s="37" t="s">
        <v>31</v>
      </c>
      <c r="S31" s="37"/>
      <c r="T31" s="37" t="s">
        <v>31</v>
      </c>
      <c r="U31" s="37"/>
      <c r="V31" s="50" t="s">
        <v>202</v>
      </c>
      <c r="W31" s="37" t="s">
        <v>203</v>
      </c>
      <c r="X31" s="37" t="s">
        <v>31</v>
      </c>
      <c r="Y31" s="37"/>
      <c r="Z31" s="37" t="s">
        <v>31</v>
      </c>
      <c r="AA31" s="37"/>
      <c r="AB31" s="37" t="s">
        <v>31</v>
      </c>
      <c r="AC31" s="37"/>
      <c r="AD31" s="37" t="s">
        <v>31</v>
      </c>
      <c r="AE31" s="37"/>
      <c r="AH31" s="17"/>
      <c r="AI31" s="17" t="b">
        <f t="shared" si="3"/>
        <v>1</v>
      </c>
      <c r="AJ31" s="17" t="b">
        <f t="shared" si="4"/>
        <v>1</v>
      </c>
      <c r="AK31" s="17" t="str">
        <f t="shared" si="5"/>
        <v>EM00012371</v>
      </c>
    </row>
    <row r="32" spans="1:37" ht="15" customHeight="1" x14ac:dyDescent="0.25">
      <c r="A32" s="37" t="s">
        <v>196</v>
      </c>
      <c r="B32" s="37">
        <v>1311</v>
      </c>
      <c r="C32" s="37" t="s">
        <v>197</v>
      </c>
      <c r="D32" s="37">
        <v>4</v>
      </c>
      <c r="E32" s="47" t="s">
        <v>205</v>
      </c>
      <c r="F32" s="48">
        <v>46266</v>
      </c>
      <c r="G32" s="48">
        <v>46295</v>
      </c>
      <c r="H32" s="37"/>
      <c r="I32" s="37"/>
      <c r="J32" s="37"/>
      <c r="K32" s="51"/>
      <c r="L32" s="37"/>
      <c r="M32" s="37"/>
      <c r="N32" s="37" t="s">
        <v>196</v>
      </c>
      <c r="O32" s="37" t="s">
        <v>197</v>
      </c>
      <c r="P32" s="37" t="s">
        <v>31</v>
      </c>
      <c r="Q32" s="37"/>
      <c r="R32" s="37" t="s">
        <v>31</v>
      </c>
      <c r="S32" s="37"/>
      <c r="T32" s="37" t="s">
        <v>31</v>
      </c>
      <c r="U32" s="37"/>
      <c r="V32" s="50" t="s">
        <v>202</v>
      </c>
      <c r="W32" s="37" t="s">
        <v>203</v>
      </c>
      <c r="X32" s="37" t="s">
        <v>31</v>
      </c>
      <c r="Y32" s="37"/>
      <c r="Z32" s="37" t="s">
        <v>31</v>
      </c>
      <c r="AA32" s="37"/>
      <c r="AB32" s="37" t="s">
        <v>31</v>
      </c>
      <c r="AC32" s="37"/>
      <c r="AD32" s="37" t="s">
        <v>31</v>
      </c>
      <c r="AE32" s="37"/>
      <c r="AH32" s="17"/>
      <c r="AI32" s="17" t="b">
        <f t="shared" si="3"/>
        <v>1</v>
      </c>
      <c r="AJ32" s="17" t="b">
        <f t="shared" si="4"/>
        <v>1</v>
      </c>
      <c r="AK32" s="17" t="str">
        <f t="shared" si="5"/>
        <v>EM00000000</v>
      </c>
    </row>
    <row r="33" spans="1:37" ht="15" customHeight="1" x14ac:dyDescent="0.25">
      <c r="A33" s="37" t="s">
        <v>196</v>
      </c>
      <c r="B33" s="37">
        <v>1310</v>
      </c>
      <c r="C33" s="37" t="s">
        <v>197</v>
      </c>
      <c r="D33" s="37">
        <v>4</v>
      </c>
      <c r="E33" s="47" t="s">
        <v>205</v>
      </c>
      <c r="F33" s="48">
        <v>46266</v>
      </c>
      <c r="G33" s="48">
        <v>46295</v>
      </c>
      <c r="H33" s="37"/>
      <c r="I33" s="37"/>
      <c r="J33" s="37"/>
      <c r="K33" s="51"/>
      <c r="L33" s="37"/>
      <c r="M33" s="37"/>
      <c r="N33" s="37" t="s">
        <v>196</v>
      </c>
      <c r="O33" s="37" t="s">
        <v>197</v>
      </c>
      <c r="P33" s="37" t="s">
        <v>31</v>
      </c>
      <c r="Q33" s="37"/>
      <c r="R33" s="37" t="s">
        <v>31</v>
      </c>
      <c r="S33" s="37"/>
      <c r="T33" s="37" t="s">
        <v>31</v>
      </c>
      <c r="U33" s="37"/>
      <c r="V33" s="50" t="s">
        <v>202</v>
      </c>
      <c r="W33" s="37" t="s">
        <v>203</v>
      </c>
      <c r="X33" s="37" t="s">
        <v>31</v>
      </c>
      <c r="Y33" s="37"/>
      <c r="Z33" s="37" t="s">
        <v>31</v>
      </c>
      <c r="AA33" s="37"/>
      <c r="AB33" s="37" t="s">
        <v>31</v>
      </c>
      <c r="AC33" s="37"/>
      <c r="AD33" s="37" t="s">
        <v>31</v>
      </c>
      <c r="AE33" s="37"/>
      <c r="AH33" s="17"/>
      <c r="AI33" s="17" t="b">
        <f t="shared" si="3"/>
        <v>1</v>
      </c>
      <c r="AJ33" s="17" t="b">
        <f t="shared" si="4"/>
        <v>1</v>
      </c>
      <c r="AK33" s="17" t="str">
        <f t="shared" si="5"/>
        <v>EM00000000</v>
      </c>
    </row>
    <row r="34" spans="1:37" ht="15" customHeight="1" x14ac:dyDescent="0.25">
      <c r="A34" s="75" t="str">
        <f>_xlfn.XLOOKUP(C34,[1]Sheet2!$D:$D,[1]Sheet2!$C:$C)</f>
        <v>EM00015760</v>
      </c>
      <c r="B34" s="37">
        <v>1334</v>
      </c>
      <c r="C34" s="51" t="s">
        <v>88</v>
      </c>
      <c r="D34" s="37">
        <v>1</v>
      </c>
      <c r="E34" s="47" t="s">
        <v>205</v>
      </c>
      <c r="F34" s="48">
        <v>46266</v>
      </c>
      <c r="G34" s="48">
        <v>46295</v>
      </c>
      <c r="H34" s="37" t="s">
        <v>174</v>
      </c>
      <c r="I34" s="51" t="s">
        <v>88</v>
      </c>
      <c r="J34" s="49" t="s">
        <v>31</v>
      </c>
      <c r="K34" s="51" t="s">
        <v>92</v>
      </c>
      <c r="L34" s="37"/>
      <c r="M34" s="37"/>
      <c r="N34" s="37" t="s">
        <v>198</v>
      </c>
      <c r="O34" s="37" t="s">
        <v>200</v>
      </c>
      <c r="P34" s="37" t="s">
        <v>31</v>
      </c>
      <c r="Q34" s="37"/>
      <c r="R34" s="37" t="s">
        <v>31</v>
      </c>
      <c r="S34" s="37"/>
      <c r="T34" s="37" t="s">
        <v>31</v>
      </c>
      <c r="U34" s="37"/>
      <c r="V34" s="50" t="s">
        <v>202</v>
      </c>
      <c r="W34" s="37" t="s">
        <v>203</v>
      </c>
      <c r="X34" s="37" t="s">
        <v>31</v>
      </c>
      <c r="Y34" s="37"/>
      <c r="Z34" s="37" t="s">
        <v>31</v>
      </c>
      <c r="AA34" s="37"/>
      <c r="AB34" s="37" t="s">
        <v>31</v>
      </c>
      <c r="AC34" s="37"/>
      <c r="AD34" s="37" t="s">
        <v>31</v>
      </c>
      <c r="AE34" s="37"/>
      <c r="AH34" s="17"/>
      <c r="AI34" s="17" t="b">
        <f t="shared" si="3"/>
        <v>1</v>
      </c>
      <c r="AJ34" s="17" t="b">
        <f t="shared" si="4"/>
        <v>1</v>
      </c>
      <c r="AK34" s="17" t="str">
        <f t="shared" si="5"/>
        <v>EM00000000</v>
      </c>
    </row>
    <row r="35" spans="1:37" ht="15" customHeight="1" x14ac:dyDescent="0.25">
      <c r="A35" s="75" t="str">
        <f>_xlfn.XLOOKUP(C35,[1]Sheet2!$D:$D,[1]Sheet2!$C:$C)</f>
        <v>EM00015759</v>
      </c>
      <c r="B35" s="37">
        <v>1334</v>
      </c>
      <c r="C35" s="51" t="s">
        <v>89</v>
      </c>
      <c r="D35" s="37">
        <v>1</v>
      </c>
      <c r="E35" s="47" t="s">
        <v>205</v>
      </c>
      <c r="F35" s="48">
        <v>46266</v>
      </c>
      <c r="G35" s="48">
        <v>46295</v>
      </c>
      <c r="H35" s="37" t="s">
        <v>175</v>
      </c>
      <c r="I35" s="51" t="s">
        <v>89</v>
      </c>
      <c r="J35" s="49" t="s">
        <v>31</v>
      </c>
      <c r="K35" s="51" t="s">
        <v>92</v>
      </c>
      <c r="L35" s="37"/>
      <c r="M35" s="37"/>
      <c r="N35" s="37" t="s">
        <v>198</v>
      </c>
      <c r="O35" s="37" t="s">
        <v>200</v>
      </c>
      <c r="P35" s="37" t="s">
        <v>31</v>
      </c>
      <c r="Q35" s="37"/>
      <c r="R35" s="37" t="s">
        <v>31</v>
      </c>
      <c r="S35" s="37"/>
      <c r="T35" s="37" t="s">
        <v>31</v>
      </c>
      <c r="U35" s="37"/>
      <c r="V35" s="50" t="s">
        <v>202</v>
      </c>
      <c r="W35" s="37" t="s">
        <v>203</v>
      </c>
      <c r="X35" s="37" t="s">
        <v>31</v>
      </c>
      <c r="Y35" s="37"/>
      <c r="Z35" s="37" t="s">
        <v>31</v>
      </c>
      <c r="AA35" s="37"/>
      <c r="AB35" s="37" t="s">
        <v>31</v>
      </c>
      <c r="AC35" s="37"/>
      <c r="AD35" s="37" t="s">
        <v>31</v>
      </c>
      <c r="AE35" s="37"/>
      <c r="AH35" s="17"/>
      <c r="AI35" s="17" t="b">
        <f t="shared" si="3"/>
        <v>1</v>
      </c>
      <c r="AJ35" s="17" t="b">
        <f t="shared" si="4"/>
        <v>1</v>
      </c>
      <c r="AK35" s="17" t="str">
        <f t="shared" si="5"/>
        <v>EM00000000</v>
      </c>
    </row>
    <row r="36" spans="1:37" ht="15" customHeight="1" x14ac:dyDescent="0.25">
      <c r="A36" s="75" t="str">
        <f>_xlfn.XLOOKUP(C36,[1]Sheet2!$D:$D,[1]Sheet2!$C:$C)</f>
        <v>EM00016027</v>
      </c>
      <c r="B36" s="37">
        <v>1334</v>
      </c>
      <c r="C36" s="51" t="s">
        <v>90</v>
      </c>
      <c r="D36" s="37">
        <v>1</v>
      </c>
      <c r="E36" s="47" t="s">
        <v>205</v>
      </c>
      <c r="F36" s="48">
        <v>46266</v>
      </c>
      <c r="G36" s="48">
        <v>46295</v>
      </c>
      <c r="H36" s="37" t="s">
        <v>283</v>
      </c>
      <c r="I36" s="51" t="s">
        <v>90</v>
      </c>
      <c r="J36" s="49" t="s">
        <v>31</v>
      </c>
      <c r="K36" s="51" t="s">
        <v>92</v>
      </c>
      <c r="L36" s="37"/>
      <c r="M36" s="37"/>
      <c r="N36" s="37" t="s">
        <v>198</v>
      </c>
      <c r="O36" s="37" t="s">
        <v>200</v>
      </c>
      <c r="P36" s="37" t="s">
        <v>31</v>
      </c>
      <c r="Q36" s="37"/>
      <c r="R36" s="37" t="s">
        <v>31</v>
      </c>
      <c r="S36" s="37"/>
      <c r="T36" s="37" t="s">
        <v>31</v>
      </c>
      <c r="U36" s="37"/>
      <c r="V36" s="50" t="s">
        <v>202</v>
      </c>
      <c r="W36" s="37" t="s">
        <v>203</v>
      </c>
      <c r="X36" s="37" t="s">
        <v>31</v>
      </c>
      <c r="Y36" s="37"/>
      <c r="Z36" s="37" t="s">
        <v>31</v>
      </c>
      <c r="AA36" s="37"/>
      <c r="AB36" s="37" t="s">
        <v>31</v>
      </c>
      <c r="AC36" s="37"/>
      <c r="AD36" s="37" t="s">
        <v>31</v>
      </c>
      <c r="AE36" s="37"/>
      <c r="AH36" s="17"/>
      <c r="AI36" s="17" t="b">
        <f t="shared" si="3"/>
        <v>1</v>
      </c>
      <c r="AJ36" s="17" t="b">
        <f t="shared" si="4"/>
        <v>1</v>
      </c>
      <c r="AK36" s="17" t="str">
        <f t="shared" si="5"/>
        <v>EM00000000</v>
      </c>
    </row>
    <row r="37" spans="1:37" ht="15" customHeight="1" x14ac:dyDescent="0.25">
      <c r="A37" s="75" t="str">
        <f>_xlfn.XLOOKUP(C37,[1]Sheet2!$D:$D,[1]Sheet2!$C:$C)</f>
        <v>EM00015997</v>
      </c>
      <c r="B37" s="37">
        <v>1334</v>
      </c>
      <c r="C37" s="51" t="s">
        <v>91</v>
      </c>
      <c r="D37" s="37">
        <v>1</v>
      </c>
      <c r="E37" s="47" t="s">
        <v>205</v>
      </c>
      <c r="F37" s="48">
        <v>46266</v>
      </c>
      <c r="G37" s="48">
        <v>46295</v>
      </c>
      <c r="H37" s="37" t="s">
        <v>284</v>
      </c>
      <c r="I37" s="51" t="s">
        <v>91</v>
      </c>
      <c r="J37" s="49" t="s">
        <v>31</v>
      </c>
      <c r="K37" s="51" t="s">
        <v>92</v>
      </c>
      <c r="L37" s="37"/>
      <c r="M37" s="37"/>
      <c r="N37" s="37" t="s">
        <v>198</v>
      </c>
      <c r="O37" s="37" t="s">
        <v>200</v>
      </c>
      <c r="P37" s="37" t="s">
        <v>31</v>
      </c>
      <c r="Q37" s="37"/>
      <c r="R37" s="37" t="s">
        <v>31</v>
      </c>
      <c r="S37" s="37"/>
      <c r="T37" s="37" t="s">
        <v>31</v>
      </c>
      <c r="U37" s="37"/>
      <c r="V37" s="50" t="s">
        <v>202</v>
      </c>
      <c r="W37" s="37" t="s">
        <v>203</v>
      </c>
      <c r="X37" s="37" t="s">
        <v>31</v>
      </c>
      <c r="Y37" s="37"/>
      <c r="Z37" s="37" t="s">
        <v>31</v>
      </c>
      <c r="AA37" s="37"/>
      <c r="AB37" s="37" t="s">
        <v>31</v>
      </c>
      <c r="AC37" s="37"/>
      <c r="AD37" s="37" t="s">
        <v>31</v>
      </c>
      <c r="AE37" s="37"/>
      <c r="AH37" s="17"/>
      <c r="AI37" s="17" t="b">
        <f t="shared" si="3"/>
        <v>1</v>
      </c>
      <c r="AJ37" s="17" t="b">
        <f t="shared" si="4"/>
        <v>1</v>
      </c>
      <c r="AK37" s="17" t="str">
        <f t="shared" si="5"/>
        <v>EM00000000</v>
      </c>
    </row>
    <row r="38" spans="1:37" ht="15" customHeight="1" x14ac:dyDescent="0.25">
      <c r="A38" s="75" t="str">
        <f>_xlfn.XLOOKUP(C38,[1]Sheet2!$D:$D,[1]Sheet2!$C:$C)</f>
        <v>EM00000000</v>
      </c>
      <c r="B38" s="37">
        <v>1334</v>
      </c>
      <c r="C38" s="51" t="s">
        <v>699</v>
      </c>
      <c r="D38" s="37">
        <v>1</v>
      </c>
      <c r="E38" s="47" t="s">
        <v>205</v>
      </c>
      <c r="F38" s="48">
        <v>46266</v>
      </c>
      <c r="G38" s="48">
        <v>46295</v>
      </c>
      <c r="H38" s="37" t="s">
        <v>31</v>
      </c>
      <c r="I38" s="51" t="s">
        <v>699</v>
      </c>
      <c r="J38" s="49" t="s">
        <v>31</v>
      </c>
      <c r="K38" s="51" t="s">
        <v>92</v>
      </c>
      <c r="L38" s="37"/>
      <c r="M38" s="37"/>
      <c r="N38" s="37" t="s">
        <v>198</v>
      </c>
      <c r="O38" s="37" t="s">
        <v>200</v>
      </c>
      <c r="P38" s="37" t="s">
        <v>31</v>
      </c>
      <c r="Q38" s="37"/>
      <c r="R38" s="37" t="s">
        <v>31</v>
      </c>
      <c r="S38" s="37"/>
      <c r="T38" s="37" t="s">
        <v>31</v>
      </c>
      <c r="U38" s="37"/>
      <c r="V38" s="50" t="s">
        <v>202</v>
      </c>
      <c r="W38" s="37" t="s">
        <v>203</v>
      </c>
      <c r="X38" s="37" t="s">
        <v>31</v>
      </c>
      <c r="Y38" s="37"/>
      <c r="Z38" s="37" t="s">
        <v>31</v>
      </c>
      <c r="AA38" s="37"/>
      <c r="AB38" s="37" t="s">
        <v>31</v>
      </c>
      <c r="AC38" s="37"/>
      <c r="AD38" s="37" t="s">
        <v>31</v>
      </c>
      <c r="AE38" s="37"/>
      <c r="AH38" s="17"/>
      <c r="AI38" s="17" t="b">
        <f t="shared" si="3"/>
        <v>1</v>
      </c>
      <c r="AJ38" s="17" t="b">
        <f t="shared" si="4"/>
        <v>1</v>
      </c>
      <c r="AK38" s="17" t="str">
        <f t="shared" si="5"/>
        <v>EM00000000</v>
      </c>
    </row>
    <row r="39" spans="1:37" ht="15" customHeight="1" x14ac:dyDescent="0.25">
      <c r="A39" s="75" t="str">
        <f>_xlfn.XLOOKUP(C39,[1]Sheet2!$D:$D,[1]Sheet2!$C:$C)</f>
        <v>EM00016516</v>
      </c>
      <c r="B39" s="37">
        <v>1334</v>
      </c>
      <c r="C39" s="51" t="s">
        <v>92</v>
      </c>
      <c r="D39" s="37">
        <v>2</v>
      </c>
      <c r="E39" s="47" t="s">
        <v>205</v>
      </c>
      <c r="F39" s="48">
        <v>46266</v>
      </c>
      <c r="G39" s="48">
        <v>46295</v>
      </c>
      <c r="H39" s="37"/>
      <c r="I39" s="37"/>
      <c r="J39" s="49" t="s">
        <v>933</v>
      </c>
      <c r="K39" s="51" t="s">
        <v>92</v>
      </c>
      <c r="L39" s="37"/>
      <c r="M39" s="37"/>
      <c r="N39" s="37" t="s">
        <v>198</v>
      </c>
      <c r="O39" s="37" t="s">
        <v>200</v>
      </c>
      <c r="P39" s="37" t="s">
        <v>31</v>
      </c>
      <c r="Q39" s="37"/>
      <c r="R39" s="37" t="s">
        <v>31</v>
      </c>
      <c r="S39" s="37"/>
      <c r="T39" s="37" t="s">
        <v>31</v>
      </c>
      <c r="U39" s="37"/>
      <c r="V39" s="50" t="s">
        <v>202</v>
      </c>
      <c r="W39" s="37" t="s">
        <v>203</v>
      </c>
      <c r="X39" s="37" t="s">
        <v>31</v>
      </c>
      <c r="Y39" s="37"/>
      <c r="Z39" s="37" t="s">
        <v>31</v>
      </c>
      <c r="AA39" s="37"/>
      <c r="AB39" s="37" t="s">
        <v>31</v>
      </c>
      <c r="AC39" s="37"/>
      <c r="AD39" s="37" t="s">
        <v>31</v>
      </c>
      <c r="AE39" s="37"/>
      <c r="AH39" s="17"/>
      <c r="AI39" s="17" t="b">
        <f t="shared" si="3"/>
        <v>1</v>
      </c>
      <c r="AJ39" s="17" t="b">
        <f t="shared" si="4"/>
        <v>1</v>
      </c>
      <c r="AK39" s="17" t="str">
        <f t="shared" si="5"/>
        <v>EM00015556</v>
      </c>
    </row>
    <row r="40" spans="1:37" ht="15" customHeight="1" x14ac:dyDescent="0.25">
      <c r="A40" s="75" t="str">
        <f>_xlfn.XLOOKUP(C40,[1]Sheet2!$D:$D,[1]Sheet2!$C:$C)</f>
        <v>EM00015588</v>
      </c>
      <c r="B40" s="37">
        <v>1314</v>
      </c>
      <c r="C40" s="51" t="s">
        <v>93</v>
      </c>
      <c r="D40" s="37">
        <v>1</v>
      </c>
      <c r="E40" s="47" t="s">
        <v>205</v>
      </c>
      <c r="F40" s="48">
        <v>46266</v>
      </c>
      <c r="G40" s="48">
        <v>46295</v>
      </c>
      <c r="H40" s="37" t="s">
        <v>176</v>
      </c>
      <c r="I40" s="51" t="s">
        <v>93</v>
      </c>
      <c r="J40" s="49" t="s">
        <v>322</v>
      </c>
      <c r="K40" s="51" t="s">
        <v>98</v>
      </c>
      <c r="L40" s="37"/>
      <c r="M40" s="37"/>
      <c r="N40" s="37" t="s">
        <v>198</v>
      </c>
      <c r="O40" s="37" t="s">
        <v>200</v>
      </c>
      <c r="P40" s="37" t="s">
        <v>31</v>
      </c>
      <c r="Q40" s="37"/>
      <c r="R40" s="37" t="s">
        <v>31</v>
      </c>
      <c r="S40" s="37"/>
      <c r="T40" s="37" t="s">
        <v>31</v>
      </c>
      <c r="U40" s="37"/>
      <c r="V40" s="50" t="s">
        <v>202</v>
      </c>
      <c r="W40" s="37" t="s">
        <v>203</v>
      </c>
      <c r="X40" s="37" t="s">
        <v>31</v>
      </c>
      <c r="Y40" s="37"/>
      <c r="Z40" s="37" t="s">
        <v>31</v>
      </c>
      <c r="AA40" s="37"/>
      <c r="AB40" s="37" t="s">
        <v>31</v>
      </c>
      <c r="AC40" s="37"/>
      <c r="AD40" s="37" t="s">
        <v>31</v>
      </c>
      <c r="AE40" s="37"/>
      <c r="AH40" s="17"/>
      <c r="AI40" s="17" t="b">
        <f t="shared" si="3"/>
        <v>1</v>
      </c>
      <c r="AJ40" s="17" t="b">
        <f t="shared" si="4"/>
        <v>1</v>
      </c>
      <c r="AK40" s="17" t="str">
        <f t="shared" si="5"/>
        <v>EM00015867</v>
      </c>
    </row>
    <row r="41" spans="1:37" ht="15" customHeight="1" x14ac:dyDescent="0.25">
      <c r="A41" s="75" t="str">
        <f>_xlfn.XLOOKUP(C41,[1]Sheet2!$D:$D,[1]Sheet2!$C:$C)</f>
        <v>EM00015740</v>
      </c>
      <c r="B41" s="37">
        <v>1314</v>
      </c>
      <c r="C41" s="51" t="s">
        <v>94</v>
      </c>
      <c r="D41" s="37">
        <v>1</v>
      </c>
      <c r="E41" s="47" t="s">
        <v>205</v>
      </c>
      <c r="F41" s="48">
        <v>46266</v>
      </c>
      <c r="G41" s="48">
        <v>46295</v>
      </c>
      <c r="H41" s="37" t="s">
        <v>183</v>
      </c>
      <c r="I41" s="51" t="s">
        <v>94</v>
      </c>
      <c r="J41" s="49" t="s">
        <v>322</v>
      </c>
      <c r="K41" s="51" t="s">
        <v>98</v>
      </c>
      <c r="L41" s="37"/>
      <c r="M41" s="37"/>
      <c r="N41" s="37" t="s">
        <v>198</v>
      </c>
      <c r="O41" s="37" t="s">
        <v>200</v>
      </c>
      <c r="P41" s="37" t="s">
        <v>31</v>
      </c>
      <c r="Q41" s="37"/>
      <c r="R41" s="37" t="s">
        <v>31</v>
      </c>
      <c r="S41" s="37"/>
      <c r="T41" s="37" t="s">
        <v>31</v>
      </c>
      <c r="U41" s="37"/>
      <c r="V41" s="50" t="s">
        <v>202</v>
      </c>
      <c r="W41" s="37" t="s">
        <v>203</v>
      </c>
      <c r="X41" s="37" t="s">
        <v>31</v>
      </c>
      <c r="Y41" s="37"/>
      <c r="Z41" s="37" t="s">
        <v>31</v>
      </c>
      <c r="AA41" s="37"/>
      <c r="AB41" s="37" t="s">
        <v>31</v>
      </c>
      <c r="AC41" s="37"/>
      <c r="AD41" s="37" t="s">
        <v>31</v>
      </c>
      <c r="AE41" s="37"/>
      <c r="AH41" s="17"/>
      <c r="AI41" s="17" t="b">
        <f t="shared" si="3"/>
        <v>1</v>
      </c>
      <c r="AJ41" s="17" t="b">
        <f t="shared" si="4"/>
        <v>1</v>
      </c>
      <c r="AK41" s="17" t="str">
        <f t="shared" si="5"/>
        <v>EM00015867</v>
      </c>
    </row>
    <row r="42" spans="1:37" ht="15" customHeight="1" x14ac:dyDescent="0.25">
      <c r="A42" s="75" t="str">
        <f>_xlfn.XLOOKUP(C42,[1]Sheet2!$D:$D,[1]Sheet2!$C:$C)</f>
        <v>EM00015745</v>
      </c>
      <c r="B42" s="37">
        <v>1314</v>
      </c>
      <c r="C42" s="51" t="s">
        <v>95</v>
      </c>
      <c r="D42" s="37">
        <v>1</v>
      </c>
      <c r="E42" s="47" t="s">
        <v>205</v>
      </c>
      <c r="F42" s="48">
        <v>46266</v>
      </c>
      <c r="G42" s="48">
        <v>46295</v>
      </c>
      <c r="H42" s="37" t="s">
        <v>177</v>
      </c>
      <c r="I42" s="51" t="s">
        <v>95</v>
      </c>
      <c r="J42" s="49" t="s">
        <v>322</v>
      </c>
      <c r="K42" s="51" t="s">
        <v>98</v>
      </c>
      <c r="L42" s="37"/>
      <c r="M42" s="37"/>
      <c r="N42" s="37" t="s">
        <v>198</v>
      </c>
      <c r="O42" s="37" t="s">
        <v>200</v>
      </c>
      <c r="P42" s="37" t="s">
        <v>31</v>
      </c>
      <c r="Q42" s="37"/>
      <c r="R42" s="37" t="s">
        <v>31</v>
      </c>
      <c r="S42" s="37"/>
      <c r="T42" s="37" t="s">
        <v>31</v>
      </c>
      <c r="U42" s="37"/>
      <c r="V42" s="50" t="s">
        <v>202</v>
      </c>
      <c r="W42" s="37" t="s">
        <v>203</v>
      </c>
      <c r="X42" s="37" t="s">
        <v>31</v>
      </c>
      <c r="Y42" s="37"/>
      <c r="Z42" s="37" t="s">
        <v>31</v>
      </c>
      <c r="AA42" s="37"/>
      <c r="AB42" s="37" t="s">
        <v>31</v>
      </c>
      <c r="AC42" s="37"/>
      <c r="AD42" s="37" t="s">
        <v>31</v>
      </c>
      <c r="AE42" s="37"/>
      <c r="AH42" s="17"/>
      <c r="AI42" s="17" t="b">
        <f t="shared" si="3"/>
        <v>1</v>
      </c>
      <c r="AJ42" s="17" t="b">
        <f t="shared" si="4"/>
        <v>1</v>
      </c>
      <c r="AK42" s="17" t="str">
        <f t="shared" si="5"/>
        <v>EM00015867</v>
      </c>
    </row>
    <row r="43" spans="1:37" ht="15" customHeight="1" x14ac:dyDescent="0.25">
      <c r="A43" s="75" t="str">
        <f>_xlfn.XLOOKUP(C43,[1]Sheet2!$D:$D,[1]Sheet2!$C:$C)</f>
        <v>EM00016287</v>
      </c>
      <c r="B43" s="37">
        <v>1314</v>
      </c>
      <c r="C43" s="37" t="s">
        <v>96</v>
      </c>
      <c r="D43" s="37">
        <v>1</v>
      </c>
      <c r="E43" s="47" t="s">
        <v>205</v>
      </c>
      <c r="F43" s="48">
        <v>46266</v>
      </c>
      <c r="G43" s="48">
        <v>46295</v>
      </c>
      <c r="H43" s="37" t="s">
        <v>462</v>
      </c>
      <c r="I43" s="37" t="s">
        <v>96</v>
      </c>
      <c r="J43" s="49" t="s">
        <v>322</v>
      </c>
      <c r="K43" s="51" t="s">
        <v>98</v>
      </c>
      <c r="L43" s="37"/>
      <c r="M43" s="37"/>
      <c r="N43" s="37" t="s">
        <v>198</v>
      </c>
      <c r="O43" s="37" t="s">
        <v>200</v>
      </c>
      <c r="P43" s="37" t="s">
        <v>31</v>
      </c>
      <c r="Q43" s="37"/>
      <c r="R43" s="37" t="s">
        <v>31</v>
      </c>
      <c r="S43" s="37"/>
      <c r="T43" s="37" t="s">
        <v>31</v>
      </c>
      <c r="U43" s="37"/>
      <c r="V43" s="50" t="s">
        <v>202</v>
      </c>
      <c r="W43" s="37" t="s">
        <v>203</v>
      </c>
      <c r="X43" s="37" t="s">
        <v>31</v>
      </c>
      <c r="Y43" s="37"/>
      <c r="Z43" s="37" t="s">
        <v>31</v>
      </c>
      <c r="AA43" s="37"/>
      <c r="AB43" s="37" t="s">
        <v>31</v>
      </c>
      <c r="AC43" s="37"/>
      <c r="AD43" s="37" t="s">
        <v>31</v>
      </c>
      <c r="AE43" s="37"/>
      <c r="AH43" s="17"/>
      <c r="AI43" s="17" t="b">
        <f t="shared" si="3"/>
        <v>1</v>
      </c>
      <c r="AJ43" s="17" t="b">
        <f t="shared" si="4"/>
        <v>1</v>
      </c>
      <c r="AK43" s="17" t="str">
        <f t="shared" si="5"/>
        <v>EM00015867</v>
      </c>
    </row>
    <row r="44" spans="1:37" ht="15" customHeight="1" x14ac:dyDescent="0.25">
      <c r="A44" s="75" t="str">
        <f>_xlfn.XLOOKUP(C44,[1]Sheet2!$D:$D,[1]Sheet2!$C:$C)</f>
        <v>EM00016010</v>
      </c>
      <c r="B44" s="37">
        <v>1314</v>
      </c>
      <c r="C44" s="37" t="s">
        <v>97</v>
      </c>
      <c r="D44" s="37">
        <v>1</v>
      </c>
      <c r="E44" s="47" t="s">
        <v>205</v>
      </c>
      <c r="F44" s="48">
        <v>46266</v>
      </c>
      <c r="G44" s="48">
        <v>46295</v>
      </c>
      <c r="H44" s="37" t="s">
        <v>285</v>
      </c>
      <c r="I44" s="37" t="s">
        <v>97</v>
      </c>
      <c r="J44" s="49" t="s">
        <v>322</v>
      </c>
      <c r="K44" s="51" t="s">
        <v>98</v>
      </c>
      <c r="L44" s="37"/>
      <c r="M44" s="37"/>
      <c r="N44" s="37" t="s">
        <v>198</v>
      </c>
      <c r="O44" s="37" t="s">
        <v>200</v>
      </c>
      <c r="P44" s="37" t="s">
        <v>31</v>
      </c>
      <c r="Q44" s="37"/>
      <c r="R44" s="37" t="s">
        <v>31</v>
      </c>
      <c r="S44" s="37"/>
      <c r="T44" s="37" t="s">
        <v>31</v>
      </c>
      <c r="U44" s="37"/>
      <c r="V44" s="50" t="s">
        <v>202</v>
      </c>
      <c r="W44" s="37" t="s">
        <v>203</v>
      </c>
      <c r="X44" s="37" t="s">
        <v>31</v>
      </c>
      <c r="Y44" s="37"/>
      <c r="Z44" s="37" t="s">
        <v>31</v>
      </c>
      <c r="AA44" s="37"/>
      <c r="AB44" s="37" t="s">
        <v>31</v>
      </c>
      <c r="AC44" s="37"/>
      <c r="AD44" s="37" t="s">
        <v>31</v>
      </c>
      <c r="AE44" s="37"/>
      <c r="AH44" s="17"/>
      <c r="AI44" s="17" t="b">
        <f t="shared" si="3"/>
        <v>1</v>
      </c>
      <c r="AJ44" s="17" t="b">
        <f t="shared" si="4"/>
        <v>1</v>
      </c>
      <c r="AK44" s="17" t="str">
        <f t="shared" si="5"/>
        <v>EM00015867</v>
      </c>
    </row>
    <row r="45" spans="1:37" ht="15" customHeight="1" x14ac:dyDescent="0.25">
      <c r="A45" s="75" t="str">
        <f>_xlfn.XLOOKUP(C45,[1]Sheet2!$D:$D,[1]Sheet2!$C:$C)</f>
        <v>EM00015867</v>
      </c>
      <c r="B45" s="37">
        <v>1314</v>
      </c>
      <c r="C45" s="51" t="s">
        <v>98</v>
      </c>
      <c r="D45" s="37">
        <v>2</v>
      </c>
      <c r="E45" s="47" t="s">
        <v>205</v>
      </c>
      <c r="F45" s="48">
        <v>46266</v>
      </c>
      <c r="G45" s="48">
        <v>46295</v>
      </c>
      <c r="H45" s="37"/>
      <c r="I45" s="37"/>
      <c r="J45" s="49" t="s">
        <v>322</v>
      </c>
      <c r="K45" s="51" t="s">
        <v>98</v>
      </c>
      <c r="L45" s="37"/>
      <c r="M45" s="37"/>
      <c r="N45" s="37" t="s">
        <v>198</v>
      </c>
      <c r="O45" s="37" t="s">
        <v>200</v>
      </c>
      <c r="P45" s="37" t="s">
        <v>31</v>
      </c>
      <c r="Q45" s="37"/>
      <c r="R45" s="37" t="s">
        <v>31</v>
      </c>
      <c r="S45" s="37"/>
      <c r="T45" s="37" t="s">
        <v>31</v>
      </c>
      <c r="U45" s="37"/>
      <c r="V45" s="50" t="s">
        <v>202</v>
      </c>
      <c r="W45" s="37" t="s">
        <v>203</v>
      </c>
      <c r="X45" s="37" t="s">
        <v>31</v>
      </c>
      <c r="Y45" s="37"/>
      <c r="Z45" s="37" t="s">
        <v>31</v>
      </c>
      <c r="AA45" s="37"/>
      <c r="AB45" s="37" t="s">
        <v>31</v>
      </c>
      <c r="AC45" s="37"/>
      <c r="AD45" s="37" t="s">
        <v>31</v>
      </c>
      <c r="AE45" s="37"/>
      <c r="AH45" s="17"/>
      <c r="AI45" s="17" t="b">
        <f t="shared" si="3"/>
        <v>1</v>
      </c>
      <c r="AJ45" s="17" t="b">
        <f t="shared" si="4"/>
        <v>1</v>
      </c>
      <c r="AK45" s="17" t="str">
        <f t="shared" si="5"/>
        <v>EM00015556</v>
      </c>
    </row>
    <row r="46" spans="1:37" ht="15" customHeight="1" x14ac:dyDescent="0.25">
      <c r="A46" s="75" t="str">
        <f>_xlfn.XLOOKUP(C46,[1]Sheet2!$D:$D,[1]Sheet2!$C:$C)</f>
        <v>EM00015610</v>
      </c>
      <c r="B46" s="37">
        <v>1314</v>
      </c>
      <c r="C46" s="51" t="s">
        <v>99</v>
      </c>
      <c r="D46" s="37">
        <v>1</v>
      </c>
      <c r="E46" s="47" t="s">
        <v>205</v>
      </c>
      <c r="F46" s="48">
        <v>46266</v>
      </c>
      <c r="G46" s="48">
        <v>46295</v>
      </c>
      <c r="H46" s="37" t="s">
        <v>178</v>
      </c>
      <c r="I46" s="51" t="s">
        <v>99</v>
      </c>
      <c r="J46" s="49" t="s">
        <v>31</v>
      </c>
      <c r="K46" s="51" t="s">
        <v>103</v>
      </c>
      <c r="L46" s="37"/>
      <c r="M46" s="37"/>
      <c r="N46" s="37" t="s">
        <v>198</v>
      </c>
      <c r="O46" s="37" t="s">
        <v>200</v>
      </c>
      <c r="P46" s="37" t="s">
        <v>31</v>
      </c>
      <c r="Q46" s="37"/>
      <c r="R46" s="37" t="s">
        <v>31</v>
      </c>
      <c r="S46" s="37"/>
      <c r="T46" s="37" t="s">
        <v>31</v>
      </c>
      <c r="U46" s="37"/>
      <c r="V46" s="50" t="s">
        <v>202</v>
      </c>
      <c r="W46" s="37" t="s">
        <v>203</v>
      </c>
      <c r="X46" s="37" t="s">
        <v>31</v>
      </c>
      <c r="Y46" s="37"/>
      <c r="Z46" s="37" t="s">
        <v>31</v>
      </c>
      <c r="AA46" s="37"/>
      <c r="AB46" s="37" t="s">
        <v>31</v>
      </c>
      <c r="AC46" s="37"/>
      <c r="AD46" s="37" t="s">
        <v>31</v>
      </c>
      <c r="AE46" s="37"/>
      <c r="AH46" s="17"/>
      <c r="AI46" s="17" t="b">
        <f t="shared" si="3"/>
        <v>1</v>
      </c>
      <c r="AJ46" s="17" t="b">
        <f t="shared" si="4"/>
        <v>1</v>
      </c>
      <c r="AK46" s="17" t="str">
        <f t="shared" si="5"/>
        <v>EM00000000</v>
      </c>
    </row>
    <row r="47" spans="1:37" ht="15" customHeight="1" x14ac:dyDescent="0.25">
      <c r="A47" s="75" t="str">
        <f>_xlfn.XLOOKUP(C47,[1]Sheet2!$D:$D,[1]Sheet2!$C:$C)</f>
        <v>EM00015999</v>
      </c>
      <c r="B47" s="37">
        <v>1314</v>
      </c>
      <c r="C47" s="51" t="s">
        <v>100</v>
      </c>
      <c r="D47" s="37">
        <v>1</v>
      </c>
      <c r="E47" s="47" t="s">
        <v>205</v>
      </c>
      <c r="F47" s="48">
        <v>46266</v>
      </c>
      <c r="G47" s="48">
        <v>46295</v>
      </c>
      <c r="H47" s="37" t="s">
        <v>286</v>
      </c>
      <c r="I47" s="51" t="s">
        <v>100</v>
      </c>
      <c r="J47" s="49" t="s">
        <v>31</v>
      </c>
      <c r="K47" s="51" t="s">
        <v>103</v>
      </c>
      <c r="L47" s="37"/>
      <c r="M47" s="37"/>
      <c r="N47" s="37" t="s">
        <v>198</v>
      </c>
      <c r="O47" s="37" t="s">
        <v>200</v>
      </c>
      <c r="P47" s="37" t="s">
        <v>31</v>
      </c>
      <c r="Q47" s="37"/>
      <c r="R47" s="37" t="s">
        <v>31</v>
      </c>
      <c r="S47" s="37"/>
      <c r="T47" s="37" t="s">
        <v>31</v>
      </c>
      <c r="U47" s="37"/>
      <c r="V47" s="50" t="s">
        <v>202</v>
      </c>
      <c r="W47" s="37" t="s">
        <v>203</v>
      </c>
      <c r="X47" s="37" t="s">
        <v>31</v>
      </c>
      <c r="Y47" s="37"/>
      <c r="Z47" s="37" t="s">
        <v>31</v>
      </c>
      <c r="AA47" s="37"/>
      <c r="AB47" s="37" t="s">
        <v>31</v>
      </c>
      <c r="AC47" s="37"/>
      <c r="AD47" s="37" t="s">
        <v>31</v>
      </c>
      <c r="AE47" s="37"/>
      <c r="AH47" s="17"/>
      <c r="AI47" s="17" t="b">
        <f t="shared" si="3"/>
        <v>1</v>
      </c>
      <c r="AJ47" s="17" t="b">
        <f t="shared" si="4"/>
        <v>1</v>
      </c>
      <c r="AK47" s="17" t="str">
        <f t="shared" si="5"/>
        <v>EM00000000</v>
      </c>
    </row>
    <row r="48" spans="1:37" ht="15" customHeight="1" x14ac:dyDescent="0.25">
      <c r="A48" s="75" t="str">
        <f>_xlfn.XLOOKUP(C48,[1]Sheet2!$D:$D,[1]Sheet2!$C:$C)</f>
        <v>EM00016004</v>
      </c>
      <c r="B48" s="37">
        <v>1314</v>
      </c>
      <c r="C48" s="51" t="s">
        <v>101</v>
      </c>
      <c r="D48" s="37">
        <v>1</v>
      </c>
      <c r="E48" s="47" t="s">
        <v>205</v>
      </c>
      <c r="F48" s="48">
        <v>46266</v>
      </c>
      <c r="G48" s="48">
        <v>46295</v>
      </c>
      <c r="H48" s="37" t="s">
        <v>287</v>
      </c>
      <c r="I48" s="51" t="s">
        <v>101</v>
      </c>
      <c r="J48" s="49" t="s">
        <v>31</v>
      </c>
      <c r="K48" s="51" t="s">
        <v>103</v>
      </c>
      <c r="L48" s="37"/>
      <c r="M48" s="37"/>
      <c r="N48" s="37" t="s">
        <v>198</v>
      </c>
      <c r="O48" s="37" t="s">
        <v>200</v>
      </c>
      <c r="P48" s="37" t="s">
        <v>31</v>
      </c>
      <c r="Q48" s="37"/>
      <c r="R48" s="37" t="s">
        <v>31</v>
      </c>
      <c r="S48" s="37"/>
      <c r="T48" s="37" t="s">
        <v>31</v>
      </c>
      <c r="U48" s="37"/>
      <c r="V48" s="50" t="s">
        <v>202</v>
      </c>
      <c r="W48" s="37" t="s">
        <v>203</v>
      </c>
      <c r="X48" s="37" t="s">
        <v>31</v>
      </c>
      <c r="Y48" s="37"/>
      <c r="Z48" s="37" t="s">
        <v>31</v>
      </c>
      <c r="AA48" s="37"/>
      <c r="AB48" s="37" t="s">
        <v>31</v>
      </c>
      <c r="AC48" s="37"/>
      <c r="AD48" s="37" t="s">
        <v>31</v>
      </c>
      <c r="AE48" s="37"/>
      <c r="AH48" s="17"/>
      <c r="AI48" s="17" t="b">
        <f t="shared" si="3"/>
        <v>1</v>
      </c>
      <c r="AJ48" s="17" t="b">
        <f t="shared" si="4"/>
        <v>1</v>
      </c>
      <c r="AK48" s="17" t="str">
        <f t="shared" si="5"/>
        <v>EM00000000</v>
      </c>
    </row>
    <row r="49" spans="1:37" ht="15" customHeight="1" x14ac:dyDescent="0.25">
      <c r="A49" s="75" t="str">
        <f>_xlfn.XLOOKUP(C49,[1]Sheet2!$D:$D,[1]Sheet2!$C:$C)</f>
        <v>EM00016009</v>
      </c>
      <c r="B49" s="37">
        <v>1314</v>
      </c>
      <c r="C49" s="51" t="s">
        <v>102</v>
      </c>
      <c r="D49" s="37">
        <v>1</v>
      </c>
      <c r="E49" s="47" t="s">
        <v>205</v>
      </c>
      <c r="F49" s="48">
        <v>46266</v>
      </c>
      <c r="G49" s="48">
        <v>46295</v>
      </c>
      <c r="H49" s="37" t="s">
        <v>288</v>
      </c>
      <c r="I49" s="51" t="s">
        <v>102</v>
      </c>
      <c r="J49" s="49" t="s">
        <v>31</v>
      </c>
      <c r="K49" s="51" t="s">
        <v>103</v>
      </c>
      <c r="L49" s="37"/>
      <c r="M49" s="37"/>
      <c r="N49" s="37" t="s">
        <v>198</v>
      </c>
      <c r="O49" s="37" t="s">
        <v>200</v>
      </c>
      <c r="P49" s="37" t="s">
        <v>31</v>
      </c>
      <c r="Q49" s="37"/>
      <c r="R49" s="37" t="s">
        <v>31</v>
      </c>
      <c r="S49" s="37"/>
      <c r="T49" s="37" t="s">
        <v>31</v>
      </c>
      <c r="U49" s="37"/>
      <c r="V49" s="50" t="s">
        <v>202</v>
      </c>
      <c r="W49" s="37" t="s">
        <v>203</v>
      </c>
      <c r="X49" s="37" t="s">
        <v>31</v>
      </c>
      <c r="Y49" s="37"/>
      <c r="Z49" s="37" t="s">
        <v>31</v>
      </c>
      <c r="AA49" s="37"/>
      <c r="AB49" s="37" t="s">
        <v>31</v>
      </c>
      <c r="AC49" s="37"/>
      <c r="AD49" s="37" t="s">
        <v>31</v>
      </c>
      <c r="AE49" s="37"/>
      <c r="AH49" s="17"/>
      <c r="AI49" s="17" t="b">
        <f t="shared" si="3"/>
        <v>1</v>
      </c>
      <c r="AJ49" s="17" t="b">
        <f t="shared" si="4"/>
        <v>1</v>
      </c>
      <c r="AK49" s="17" t="str">
        <f t="shared" si="5"/>
        <v>EM00000000</v>
      </c>
    </row>
    <row r="50" spans="1:37" ht="15" customHeight="1" x14ac:dyDescent="0.25">
      <c r="A50" s="75" t="str">
        <f>_xlfn.XLOOKUP(C50,[1]Sheet2!$D:$D,[1]Sheet2!$C:$C)</f>
        <v>EM00000000</v>
      </c>
      <c r="B50" s="37">
        <v>1314</v>
      </c>
      <c r="C50" s="51" t="s">
        <v>103</v>
      </c>
      <c r="D50" s="37">
        <v>2</v>
      </c>
      <c r="E50" s="47" t="s">
        <v>205</v>
      </c>
      <c r="F50" s="48">
        <v>46266</v>
      </c>
      <c r="G50" s="48">
        <v>46295</v>
      </c>
      <c r="H50" s="37"/>
      <c r="I50" s="37"/>
      <c r="J50" s="49" t="s">
        <v>31</v>
      </c>
      <c r="K50" s="51" t="s">
        <v>103</v>
      </c>
      <c r="L50" s="37"/>
      <c r="M50" s="37"/>
      <c r="N50" s="37" t="s">
        <v>198</v>
      </c>
      <c r="O50" s="37" t="s">
        <v>200</v>
      </c>
      <c r="P50" s="37" t="s">
        <v>31</v>
      </c>
      <c r="Q50" s="37"/>
      <c r="R50" s="37" t="s">
        <v>31</v>
      </c>
      <c r="S50" s="37"/>
      <c r="T50" s="37" t="s">
        <v>31</v>
      </c>
      <c r="U50" s="37"/>
      <c r="V50" s="50" t="s">
        <v>202</v>
      </c>
      <c r="W50" s="37" t="s">
        <v>203</v>
      </c>
      <c r="X50" s="37" t="s">
        <v>31</v>
      </c>
      <c r="Y50" s="37"/>
      <c r="Z50" s="37" t="s">
        <v>31</v>
      </c>
      <c r="AA50" s="37"/>
      <c r="AB50" s="37" t="s">
        <v>31</v>
      </c>
      <c r="AC50" s="37"/>
      <c r="AD50" s="37" t="s">
        <v>31</v>
      </c>
      <c r="AE50" s="37"/>
      <c r="AH50" s="17"/>
      <c r="AI50" s="17" t="b">
        <f t="shared" si="3"/>
        <v>1</v>
      </c>
      <c r="AJ50" s="17" t="b">
        <f t="shared" si="4"/>
        <v>1</v>
      </c>
      <c r="AK50" s="17" t="str">
        <f t="shared" si="5"/>
        <v>EM00015556</v>
      </c>
    </row>
    <row r="51" spans="1:37" ht="15" customHeight="1" x14ac:dyDescent="0.25">
      <c r="A51" s="75" t="str">
        <f>_xlfn.XLOOKUP(C51,[1]Sheet2!$D:$D,[1]Sheet2!$C:$C)</f>
        <v>EM00015761</v>
      </c>
      <c r="B51" s="37">
        <v>1329</v>
      </c>
      <c r="C51" s="51" t="s">
        <v>104</v>
      </c>
      <c r="D51" s="37">
        <v>1</v>
      </c>
      <c r="E51" s="47" t="s">
        <v>205</v>
      </c>
      <c r="F51" s="48">
        <v>46266</v>
      </c>
      <c r="G51" s="48">
        <v>46295</v>
      </c>
      <c r="H51" s="37" t="s">
        <v>179</v>
      </c>
      <c r="I51" s="51" t="s">
        <v>104</v>
      </c>
      <c r="J51" s="49" t="s">
        <v>31</v>
      </c>
      <c r="K51" s="51" t="s">
        <v>109</v>
      </c>
      <c r="L51" s="37"/>
      <c r="M51" s="37"/>
      <c r="N51" s="37" t="s">
        <v>198</v>
      </c>
      <c r="O51" s="37" t="s">
        <v>200</v>
      </c>
      <c r="P51" s="37" t="s">
        <v>31</v>
      </c>
      <c r="Q51" s="37"/>
      <c r="R51" s="37" t="s">
        <v>31</v>
      </c>
      <c r="S51" s="37"/>
      <c r="T51" s="37" t="s">
        <v>31</v>
      </c>
      <c r="U51" s="37"/>
      <c r="V51" s="50" t="s">
        <v>202</v>
      </c>
      <c r="W51" s="37" t="s">
        <v>203</v>
      </c>
      <c r="X51" s="37" t="s">
        <v>31</v>
      </c>
      <c r="Y51" s="37"/>
      <c r="Z51" s="37" t="s">
        <v>31</v>
      </c>
      <c r="AA51" s="37"/>
      <c r="AB51" s="37" t="s">
        <v>31</v>
      </c>
      <c r="AC51" s="37"/>
      <c r="AD51" s="37" t="s">
        <v>31</v>
      </c>
      <c r="AE51" s="37"/>
      <c r="AH51" s="17"/>
      <c r="AI51" s="17" t="b">
        <f t="shared" si="3"/>
        <v>1</v>
      </c>
      <c r="AJ51" s="17" t="b">
        <f t="shared" si="4"/>
        <v>1</v>
      </c>
      <c r="AK51" s="17" t="str">
        <f t="shared" si="5"/>
        <v>EM00000000</v>
      </c>
    </row>
    <row r="52" spans="1:37" ht="15" customHeight="1" x14ac:dyDescent="0.25">
      <c r="A52" s="75" t="str">
        <f>_xlfn.XLOOKUP(C52,[1]Sheet2!$D:$D,[1]Sheet2!$C:$C)</f>
        <v>EM00015754</v>
      </c>
      <c r="B52" s="37">
        <v>1329</v>
      </c>
      <c r="C52" s="51" t="s">
        <v>105</v>
      </c>
      <c r="D52" s="37">
        <v>1</v>
      </c>
      <c r="E52" s="47" t="s">
        <v>205</v>
      </c>
      <c r="F52" s="48">
        <v>46266</v>
      </c>
      <c r="G52" s="48">
        <v>46295</v>
      </c>
      <c r="H52" s="37" t="s">
        <v>180</v>
      </c>
      <c r="I52" s="51" t="s">
        <v>105</v>
      </c>
      <c r="J52" s="49" t="s">
        <v>31</v>
      </c>
      <c r="K52" s="51" t="s">
        <v>109</v>
      </c>
      <c r="L52" s="37"/>
      <c r="M52" s="37"/>
      <c r="N52" s="37" t="s">
        <v>198</v>
      </c>
      <c r="O52" s="37" t="s">
        <v>200</v>
      </c>
      <c r="P52" s="37" t="s">
        <v>31</v>
      </c>
      <c r="Q52" s="37"/>
      <c r="R52" s="37" t="s">
        <v>31</v>
      </c>
      <c r="S52" s="37"/>
      <c r="T52" s="37" t="s">
        <v>31</v>
      </c>
      <c r="U52" s="37"/>
      <c r="V52" s="50" t="s">
        <v>202</v>
      </c>
      <c r="W52" s="37" t="s">
        <v>203</v>
      </c>
      <c r="X52" s="37" t="s">
        <v>31</v>
      </c>
      <c r="Y52" s="37"/>
      <c r="Z52" s="37" t="s">
        <v>31</v>
      </c>
      <c r="AA52" s="37"/>
      <c r="AB52" s="37" t="s">
        <v>31</v>
      </c>
      <c r="AC52" s="37"/>
      <c r="AD52" s="37" t="s">
        <v>31</v>
      </c>
      <c r="AE52" s="37"/>
      <c r="AH52" s="17"/>
      <c r="AI52" s="17" t="b">
        <f t="shared" si="3"/>
        <v>1</v>
      </c>
      <c r="AJ52" s="17" t="b">
        <f t="shared" si="4"/>
        <v>1</v>
      </c>
      <c r="AK52" s="17" t="str">
        <f t="shared" si="5"/>
        <v>EM00000000</v>
      </c>
    </row>
    <row r="53" spans="1:37" ht="15" customHeight="1" x14ac:dyDescent="0.25">
      <c r="A53" s="75" t="str">
        <f>_xlfn.XLOOKUP(C53,[1]Sheet2!$D:$D,[1]Sheet2!$C:$C)</f>
        <v>EM00015978</v>
      </c>
      <c r="B53" s="37">
        <v>1329</v>
      </c>
      <c r="C53" s="51" t="s">
        <v>106</v>
      </c>
      <c r="D53" s="37">
        <v>1</v>
      </c>
      <c r="E53" s="47" t="s">
        <v>205</v>
      </c>
      <c r="F53" s="48">
        <v>46266</v>
      </c>
      <c r="G53" s="48">
        <v>46295</v>
      </c>
      <c r="H53" s="37" t="s">
        <v>289</v>
      </c>
      <c r="I53" s="51" t="s">
        <v>106</v>
      </c>
      <c r="J53" s="49" t="s">
        <v>31</v>
      </c>
      <c r="K53" s="51" t="s">
        <v>109</v>
      </c>
      <c r="L53" s="37"/>
      <c r="M53" s="37"/>
      <c r="N53" s="37" t="s">
        <v>198</v>
      </c>
      <c r="O53" s="37" t="s">
        <v>200</v>
      </c>
      <c r="P53" s="37" t="s">
        <v>31</v>
      </c>
      <c r="Q53" s="37"/>
      <c r="R53" s="37" t="s">
        <v>31</v>
      </c>
      <c r="S53" s="37"/>
      <c r="T53" s="37" t="s">
        <v>31</v>
      </c>
      <c r="U53" s="37"/>
      <c r="V53" s="50" t="s">
        <v>202</v>
      </c>
      <c r="W53" s="37" t="s">
        <v>203</v>
      </c>
      <c r="X53" s="37" t="s">
        <v>31</v>
      </c>
      <c r="Y53" s="37"/>
      <c r="Z53" s="37" t="s">
        <v>31</v>
      </c>
      <c r="AA53" s="37"/>
      <c r="AB53" s="37" t="s">
        <v>31</v>
      </c>
      <c r="AC53" s="37"/>
      <c r="AD53" s="37" t="s">
        <v>31</v>
      </c>
      <c r="AE53" s="37"/>
      <c r="AH53" s="17"/>
      <c r="AI53" s="17" t="b">
        <f t="shared" si="3"/>
        <v>1</v>
      </c>
      <c r="AJ53" s="17" t="b">
        <f t="shared" si="4"/>
        <v>1</v>
      </c>
      <c r="AK53" s="17" t="str">
        <f t="shared" si="5"/>
        <v>EM00000000</v>
      </c>
    </row>
    <row r="54" spans="1:37" ht="15" customHeight="1" x14ac:dyDescent="0.25">
      <c r="A54" s="75" t="str">
        <f>_xlfn.XLOOKUP(C54,[1]Sheet2!$D:$D,[1]Sheet2!$C:$C)</f>
        <v>EM00016002</v>
      </c>
      <c r="B54" s="37">
        <v>1329</v>
      </c>
      <c r="C54" s="51" t="s">
        <v>107</v>
      </c>
      <c r="D54" s="37">
        <v>1</v>
      </c>
      <c r="E54" s="47" t="s">
        <v>205</v>
      </c>
      <c r="F54" s="48">
        <v>46266</v>
      </c>
      <c r="G54" s="48">
        <v>46295</v>
      </c>
      <c r="H54" s="37" t="s">
        <v>290</v>
      </c>
      <c r="I54" s="51" t="s">
        <v>107</v>
      </c>
      <c r="J54" s="49" t="s">
        <v>31</v>
      </c>
      <c r="K54" s="51" t="s">
        <v>109</v>
      </c>
      <c r="L54" s="37"/>
      <c r="M54" s="37"/>
      <c r="N54" s="37" t="s">
        <v>198</v>
      </c>
      <c r="O54" s="37" t="s">
        <v>200</v>
      </c>
      <c r="P54" s="37" t="s">
        <v>31</v>
      </c>
      <c r="Q54" s="37"/>
      <c r="R54" s="37" t="s">
        <v>31</v>
      </c>
      <c r="S54" s="37"/>
      <c r="T54" s="37" t="s">
        <v>31</v>
      </c>
      <c r="U54" s="37"/>
      <c r="V54" s="50" t="s">
        <v>202</v>
      </c>
      <c r="W54" s="37" t="s">
        <v>203</v>
      </c>
      <c r="X54" s="37" t="s">
        <v>31</v>
      </c>
      <c r="Y54" s="37"/>
      <c r="Z54" s="37" t="s">
        <v>31</v>
      </c>
      <c r="AA54" s="37"/>
      <c r="AB54" s="37" t="s">
        <v>31</v>
      </c>
      <c r="AC54" s="37"/>
      <c r="AD54" s="37" t="s">
        <v>31</v>
      </c>
      <c r="AE54" s="37"/>
      <c r="AH54" s="17"/>
      <c r="AI54" s="17" t="b">
        <f t="shared" si="3"/>
        <v>1</v>
      </c>
      <c r="AJ54" s="17" t="b">
        <f t="shared" si="4"/>
        <v>1</v>
      </c>
      <c r="AK54" s="17" t="str">
        <f t="shared" si="5"/>
        <v>EM00000000</v>
      </c>
    </row>
    <row r="55" spans="1:37" ht="15" customHeight="1" x14ac:dyDescent="0.25">
      <c r="A55" s="75" t="str">
        <f>_xlfn.XLOOKUP(C55,[1]Sheet2!$D:$D,[1]Sheet2!$C:$C)</f>
        <v>EM00016284</v>
      </c>
      <c r="B55" s="37">
        <v>1329</v>
      </c>
      <c r="C55" s="51" t="s">
        <v>108</v>
      </c>
      <c r="D55" s="37">
        <v>1</v>
      </c>
      <c r="E55" s="47" t="s">
        <v>205</v>
      </c>
      <c r="F55" s="48">
        <v>46266</v>
      </c>
      <c r="G55" s="48">
        <v>46295</v>
      </c>
      <c r="H55" s="37" t="s">
        <v>459</v>
      </c>
      <c r="I55" s="51" t="s">
        <v>108</v>
      </c>
      <c r="J55" s="49" t="s">
        <v>31</v>
      </c>
      <c r="K55" s="51" t="s">
        <v>109</v>
      </c>
      <c r="L55" s="37"/>
      <c r="M55" s="37"/>
      <c r="N55" s="37" t="s">
        <v>198</v>
      </c>
      <c r="O55" s="37" t="s">
        <v>200</v>
      </c>
      <c r="P55" s="37" t="s">
        <v>31</v>
      </c>
      <c r="Q55" s="37"/>
      <c r="R55" s="37" t="s">
        <v>31</v>
      </c>
      <c r="S55" s="37"/>
      <c r="T55" s="37" t="s">
        <v>31</v>
      </c>
      <c r="U55" s="37"/>
      <c r="V55" s="50" t="s">
        <v>202</v>
      </c>
      <c r="W55" s="37" t="s">
        <v>203</v>
      </c>
      <c r="X55" s="37" t="s">
        <v>31</v>
      </c>
      <c r="Y55" s="37"/>
      <c r="Z55" s="37" t="s">
        <v>31</v>
      </c>
      <c r="AA55" s="37"/>
      <c r="AB55" s="37" t="s">
        <v>31</v>
      </c>
      <c r="AC55" s="37"/>
      <c r="AD55" s="37" t="s">
        <v>31</v>
      </c>
      <c r="AE55" s="37"/>
      <c r="AH55" s="17"/>
      <c r="AI55" s="17" t="b">
        <f t="shared" si="3"/>
        <v>1</v>
      </c>
      <c r="AJ55" s="17" t="b">
        <f t="shared" si="4"/>
        <v>1</v>
      </c>
      <c r="AK55" s="17" t="str">
        <f t="shared" si="5"/>
        <v>EM00000000</v>
      </c>
    </row>
    <row r="56" spans="1:37" ht="15" customHeight="1" x14ac:dyDescent="0.25">
      <c r="A56" s="75" t="str">
        <f>_xlfn.XLOOKUP(C56,[1]Sheet2!$D:$D,[1]Sheet2!$C:$C)</f>
        <v>EM00016566</v>
      </c>
      <c r="B56" s="37">
        <v>1329</v>
      </c>
      <c r="C56" s="51" t="s">
        <v>109</v>
      </c>
      <c r="D56" s="37">
        <v>2</v>
      </c>
      <c r="E56" s="47" t="s">
        <v>205</v>
      </c>
      <c r="F56" s="48">
        <v>46266</v>
      </c>
      <c r="G56" s="48">
        <v>46295</v>
      </c>
      <c r="H56" s="37"/>
      <c r="I56" s="37"/>
      <c r="J56" s="49" t="s">
        <v>934</v>
      </c>
      <c r="K56" s="51" t="s">
        <v>109</v>
      </c>
      <c r="L56" s="37"/>
      <c r="M56" s="37"/>
      <c r="N56" s="37" t="s">
        <v>198</v>
      </c>
      <c r="O56" s="37" t="s">
        <v>200</v>
      </c>
      <c r="P56" s="37" t="s">
        <v>31</v>
      </c>
      <c r="Q56" s="37"/>
      <c r="R56" s="37" t="s">
        <v>31</v>
      </c>
      <c r="S56" s="37"/>
      <c r="T56" s="37" t="s">
        <v>31</v>
      </c>
      <c r="U56" s="37"/>
      <c r="V56" s="50" t="s">
        <v>202</v>
      </c>
      <c r="W56" s="37" t="s">
        <v>203</v>
      </c>
      <c r="X56" s="37" t="s">
        <v>31</v>
      </c>
      <c r="Y56" s="37"/>
      <c r="Z56" s="37" t="s">
        <v>31</v>
      </c>
      <c r="AA56" s="37"/>
      <c r="AB56" s="37" t="s">
        <v>31</v>
      </c>
      <c r="AC56" s="37"/>
      <c r="AD56" s="37" t="s">
        <v>31</v>
      </c>
      <c r="AE56" s="37"/>
      <c r="AH56" s="17"/>
      <c r="AI56" s="17" t="b">
        <f t="shared" si="3"/>
        <v>1</v>
      </c>
      <c r="AJ56" s="17" t="b">
        <f t="shared" si="4"/>
        <v>1</v>
      </c>
      <c r="AK56" s="17" t="str">
        <f t="shared" si="5"/>
        <v>EM00015556</v>
      </c>
    </row>
    <row r="57" spans="1:37" ht="15" customHeight="1" x14ac:dyDescent="0.25">
      <c r="A57" s="75" t="str">
        <f>_xlfn.XLOOKUP(C57,[1]Sheet2!$D:$D,[1]Sheet2!$C:$C)</f>
        <v>EM00015589</v>
      </c>
      <c r="B57" s="37">
        <v>1312</v>
      </c>
      <c r="C57" s="51" t="s">
        <v>110</v>
      </c>
      <c r="D57" s="37">
        <v>1</v>
      </c>
      <c r="E57" s="47" t="s">
        <v>205</v>
      </c>
      <c r="F57" s="48">
        <v>46266</v>
      </c>
      <c r="G57" s="48">
        <v>46295</v>
      </c>
      <c r="H57" s="37" t="s">
        <v>181</v>
      </c>
      <c r="I57" s="51" t="s">
        <v>110</v>
      </c>
      <c r="J57" s="49" t="s">
        <v>63</v>
      </c>
      <c r="K57" s="51" t="s">
        <v>115</v>
      </c>
      <c r="L57" s="37"/>
      <c r="M57" s="37"/>
      <c r="N57" s="37" t="s">
        <v>198</v>
      </c>
      <c r="O57" s="37" t="s">
        <v>200</v>
      </c>
      <c r="P57" s="37" t="s">
        <v>31</v>
      </c>
      <c r="Q57" s="37"/>
      <c r="R57" s="37" t="s">
        <v>31</v>
      </c>
      <c r="S57" s="37"/>
      <c r="T57" s="37" t="s">
        <v>31</v>
      </c>
      <c r="U57" s="37"/>
      <c r="V57" s="50" t="s">
        <v>202</v>
      </c>
      <c r="W57" s="37" t="s">
        <v>203</v>
      </c>
      <c r="X57" s="37" t="s">
        <v>31</v>
      </c>
      <c r="Y57" s="37"/>
      <c r="Z57" s="37" t="s">
        <v>31</v>
      </c>
      <c r="AA57" s="37"/>
      <c r="AB57" s="37" t="s">
        <v>31</v>
      </c>
      <c r="AC57" s="37"/>
      <c r="AD57" s="37" t="s">
        <v>31</v>
      </c>
      <c r="AE57" s="37"/>
      <c r="AH57" s="17"/>
      <c r="AI57" s="17" t="b">
        <f t="shared" si="3"/>
        <v>1</v>
      </c>
      <c r="AJ57" s="17" t="b">
        <f t="shared" si="4"/>
        <v>1</v>
      </c>
      <c r="AK57" s="17" t="str">
        <f t="shared" si="5"/>
        <v>EM00011054</v>
      </c>
    </row>
    <row r="58" spans="1:37" ht="15" customHeight="1" x14ac:dyDescent="0.25">
      <c r="A58" s="75" t="str">
        <f>_xlfn.XLOOKUP(C58,[1]Sheet2!$D:$D,[1]Sheet2!$C:$C)</f>
        <v>EM00015750</v>
      </c>
      <c r="B58" s="37">
        <v>1312</v>
      </c>
      <c r="C58" s="51" t="s">
        <v>111</v>
      </c>
      <c r="D58" s="37">
        <v>1</v>
      </c>
      <c r="E58" s="47" t="s">
        <v>205</v>
      </c>
      <c r="F58" s="48">
        <v>46266</v>
      </c>
      <c r="G58" s="48">
        <v>46295</v>
      </c>
      <c r="H58" s="37" t="s">
        <v>182</v>
      </c>
      <c r="I58" s="51" t="s">
        <v>111</v>
      </c>
      <c r="J58" s="49" t="s">
        <v>63</v>
      </c>
      <c r="K58" s="51" t="s">
        <v>115</v>
      </c>
      <c r="L58" s="37"/>
      <c r="M58" s="37"/>
      <c r="N58" s="37" t="s">
        <v>198</v>
      </c>
      <c r="O58" s="37" t="s">
        <v>200</v>
      </c>
      <c r="P58" s="37" t="s">
        <v>31</v>
      </c>
      <c r="Q58" s="37"/>
      <c r="R58" s="37" t="s">
        <v>31</v>
      </c>
      <c r="S58" s="37"/>
      <c r="T58" s="37" t="s">
        <v>31</v>
      </c>
      <c r="U58" s="37"/>
      <c r="V58" s="50" t="s">
        <v>202</v>
      </c>
      <c r="W58" s="37" t="s">
        <v>203</v>
      </c>
      <c r="X58" s="37" t="s">
        <v>31</v>
      </c>
      <c r="Y58" s="37"/>
      <c r="Z58" s="37" t="s">
        <v>31</v>
      </c>
      <c r="AA58" s="37"/>
      <c r="AB58" s="37" t="s">
        <v>31</v>
      </c>
      <c r="AC58" s="37"/>
      <c r="AD58" s="37" t="s">
        <v>31</v>
      </c>
      <c r="AE58" s="37"/>
      <c r="AH58" s="17"/>
      <c r="AI58" s="17" t="b">
        <f t="shared" si="3"/>
        <v>1</v>
      </c>
      <c r="AJ58" s="17" t="b">
        <f t="shared" si="4"/>
        <v>1</v>
      </c>
      <c r="AK58" s="17" t="str">
        <f t="shared" si="5"/>
        <v>EM00011054</v>
      </c>
    </row>
    <row r="59" spans="1:37" ht="15" customHeight="1" x14ac:dyDescent="0.25">
      <c r="A59" s="75" t="str">
        <f>_xlfn.XLOOKUP(C59,[1]Sheet2!$D:$D,[1]Sheet2!$C:$C)</f>
        <v>EM00016407</v>
      </c>
      <c r="B59" s="37">
        <v>1312</v>
      </c>
      <c r="C59" s="51" t="s">
        <v>112</v>
      </c>
      <c r="D59" s="37">
        <v>1</v>
      </c>
      <c r="E59" s="47" t="s">
        <v>205</v>
      </c>
      <c r="F59" s="48">
        <v>46266</v>
      </c>
      <c r="G59" s="48">
        <v>46295</v>
      </c>
      <c r="H59" s="37" t="s">
        <v>682</v>
      </c>
      <c r="I59" s="51" t="s">
        <v>112</v>
      </c>
      <c r="J59" s="49" t="s">
        <v>63</v>
      </c>
      <c r="K59" s="51" t="s">
        <v>115</v>
      </c>
      <c r="L59" s="37"/>
      <c r="M59" s="37"/>
      <c r="N59" s="37" t="s">
        <v>198</v>
      </c>
      <c r="O59" s="37" t="s">
        <v>200</v>
      </c>
      <c r="P59" s="37" t="s">
        <v>31</v>
      </c>
      <c r="Q59" s="37"/>
      <c r="R59" s="37" t="s">
        <v>31</v>
      </c>
      <c r="S59" s="37"/>
      <c r="T59" s="37" t="s">
        <v>31</v>
      </c>
      <c r="U59" s="37"/>
      <c r="V59" s="50" t="s">
        <v>202</v>
      </c>
      <c r="W59" s="37" t="s">
        <v>203</v>
      </c>
      <c r="X59" s="37" t="s">
        <v>31</v>
      </c>
      <c r="Y59" s="37"/>
      <c r="Z59" s="37" t="s">
        <v>31</v>
      </c>
      <c r="AA59" s="37"/>
      <c r="AB59" s="37" t="s">
        <v>31</v>
      </c>
      <c r="AC59" s="37"/>
      <c r="AD59" s="37" t="s">
        <v>31</v>
      </c>
      <c r="AE59" s="37"/>
      <c r="AH59" s="17"/>
      <c r="AI59" s="17" t="b">
        <f t="shared" si="3"/>
        <v>1</v>
      </c>
      <c r="AJ59" s="17" t="b">
        <f t="shared" si="4"/>
        <v>1</v>
      </c>
      <c r="AK59" s="17" t="str">
        <f t="shared" si="5"/>
        <v>EM00011054</v>
      </c>
    </row>
    <row r="60" spans="1:37" ht="15" customHeight="1" x14ac:dyDescent="0.25">
      <c r="A60" s="75" t="str">
        <f>_xlfn.XLOOKUP(C60,[1]Sheet2!$D:$D,[1]Sheet2!$C:$C)</f>
        <v>EM00016015</v>
      </c>
      <c r="B60" s="37">
        <v>1312</v>
      </c>
      <c r="C60" s="51" t="s">
        <v>113</v>
      </c>
      <c r="D60" s="37">
        <v>1</v>
      </c>
      <c r="E60" s="47" t="s">
        <v>205</v>
      </c>
      <c r="F60" s="48">
        <v>46266</v>
      </c>
      <c r="G60" s="48">
        <v>46295</v>
      </c>
      <c r="H60" s="37" t="s">
        <v>291</v>
      </c>
      <c r="I60" s="51" t="s">
        <v>113</v>
      </c>
      <c r="J60" s="49" t="s">
        <v>63</v>
      </c>
      <c r="K60" s="51" t="s">
        <v>115</v>
      </c>
      <c r="L60" s="37"/>
      <c r="M60" s="37"/>
      <c r="N60" s="37" t="s">
        <v>198</v>
      </c>
      <c r="O60" s="37" t="s">
        <v>200</v>
      </c>
      <c r="P60" s="37" t="s">
        <v>31</v>
      </c>
      <c r="Q60" s="37"/>
      <c r="R60" s="37" t="s">
        <v>31</v>
      </c>
      <c r="S60" s="37"/>
      <c r="T60" s="37" t="s">
        <v>31</v>
      </c>
      <c r="U60" s="37"/>
      <c r="V60" s="50" t="s">
        <v>202</v>
      </c>
      <c r="W60" s="37" t="s">
        <v>203</v>
      </c>
      <c r="X60" s="37" t="s">
        <v>31</v>
      </c>
      <c r="Y60" s="37"/>
      <c r="Z60" s="37" t="s">
        <v>31</v>
      </c>
      <c r="AA60" s="37"/>
      <c r="AB60" s="37" t="s">
        <v>31</v>
      </c>
      <c r="AC60" s="37"/>
      <c r="AD60" s="37" t="s">
        <v>31</v>
      </c>
      <c r="AE60" s="37"/>
      <c r="AH60" s="17"/>
      <c r="AI60" s="17" t="b">
        <f t="shared" si="3"/>
        <v>1</v>
      </c>
      <c r="AJ60" s="17" t="b">
        <f t="shared" si="4"/>
        <v>1</v>
      </c>
      <c r="AK60" s="17" t="str">
        <f t="shared" si="5"/>
        <v>EM00011054</v>
      </c>
    </row>
    <row r="61" spans="1:37" ht="15" customHeight="1" x14ac:dyDescent="0.25">
      <c r="A61" s="75" t="str">
        <f>_xlfn.XLOOKUP(C61,[1]Sheet2!$D:$D,[1]Sheet2!$C:$C)</f>
        <v>EM00016000</v>
      </c>
      <c r="B61" s="37">
        <v>1312</v>
      </c>
      <c r="C61" s="51" t="s">
        <v>114</v>
      </c>
      <c r="D61" s="37">
        <v>1</v>
      </c>
      <c r="E61" s="47" t="s">
        <v>205</v>
      </c>
      <c r="F61" s="48">
        <v>46266</v>
      </c>
      <c r="G61" s="48">
        <v>46295</v>
      </c>
      <c r="H61" s="37" t="s">
        <v>292</v>
      </c>
      <c r="I61" s="51" t="s">
        <v>114</v>
      </c>
      <c r="J61" s="49" t="s">
        <v>63</v>
      </c>
      <c r="K61" s="51" t="s">
        <v>115</v>
      </c>
      <c r="L61" s="37"/>
      <c r="M61" s="37"/>
      <c r="N61" s="37" t="s">
        <v>198</v>
      </c>
      <c r="O61" s="37" t="s">
        <v>200</v>
      </c>
      <c r="P61" s="37" t="s">
        <v>31</v>
      </c>
      <c r="Q61" s="37"/>
      <c r="R61" s="37" t="s">
        <v>31</v>
      </c>
      <c r="S61" s="37"/>
      <c r="T61" s="37" t="s">
        <v>31</v>
      </c>
      <c r="U61" s="37"/>
      <c r="V61" s="50" t="s">
        <v>202</v>
      </c>
      <c r="W61" s="37" t="s">
        <v>203</v>
      </c>
      <c r="X61" s="37" t="s">
        <v>31</v>
      </c>
      <c r="Y61" s="37"/>
      <c r="Z61" s="37" t="s">
        <v>31</v>
      </c>
      <c r="AA61" s="37"/>
      <c r="AB61" s="37" t="s">
        <v>31</v>
      </c>
      <c r="AC61" s="37"/>
      <c r="AD61" s="37" t="s">
        <v>31</v>
      </c>
      <c r="AE61" s="37"/>
      <c r="AH61" s="17"/>
      <c r="AI61" s="17" t="b">
        <f t="shared" si="3"/>
        <v>1</v>
      </c>
      <c r="AJ61" s="17" t="b">
        <f t="shared" si="4"/>
        <v>1</v>
      </c>
      <c r="AK61" s="17" t="str">
        <f t="shared" si="5"/>
        <v>EM00011054</v>
      </c>
    </row>
    <row r="62" spans="1:37" ht="15" customHeight="1" x14ac:dyDescent="0.25">
      <c r="A62" s="75" t="str">
        <f>_xlfn.XLOOKUP(C62,[1]Sheet2!$D:$D,[1]Sheet2!$C:$C)</f>
        <v>EM00011054</v>
      </c>
      <c r="B62" s="37">
        <v>1312</v>
      </c>
      <c r="C62" s="51" t="s">
        <v>115</v>
      </c>
      <c r="D62" s="37">
        <v>2</v>
      </c>
      <c r="E62" s="47" t="s">
        <v>205</v>
      </c>
      <c r="F62" s="48">
        <v>46266</v>
      </c>
      <c r="G62" s="48">
        <v>46295</v>
      </c>
      <c r="H62" s="37"/>
      <c r="I62" s="37"/>
      <c r="J62" s="49" t="s">
        <v>63</v>
      </c>
      <c r="K62" s="51" t="s">
        <v>115</v>
      </c>
      <c r="L62" s="37"/>
      <c r="M62" s="37"/>
      <c r="N62" s="37" t="s">
        <v>198</v>
      </c>
      <c r="O62" s="37" t="s">
        <v>200</v>
      </c>
      <c r="P62" s="37" t="s">
        <v>31</v>
      </c>
      <c r="Q62" s="37"/>
      <c r="R62" s="37" t="s">
        <v>31</v>
      </c>
      <c r="S62" s="37"/>
      <c r="T62" s="37" t="s">
        <v>31</v>
      </c>
      <c r="U62" s="37"/>
      <c r="V62" s="50" t="s">
        <v>202</v>
      </c>
      <c r="W62" s="37" t="s">
        <v>203</v>
      </c>
      <c r="X62" s="37" t="s">
        <v>31</v>
      </c>
      <c r="Y62" s="37"/>
      <c r="Z62" s="37" t="s">
        <v>31</v>
      </c>
      <c r="AA62" s="37"/>
      <c r="AB62" s="37" t="s">
        <v>31</v>
      </c>
      <c r="AC62" s="37"/>
      <c r="AD62" s="37" t="s">
        <v>31</v>
      </c>
      <c r="AE62" s="37"/>
      <c r="AH62" s="17"/>
      <c r="AI62" s="17" t="b">
        <f t="shared" si="3"/>
        <v>1</v>
      </c>
      <c r="AJ62" s="17" t="b">
        <f t="shared" si="4"/>
        <v>1</v>
      </c>
      <c r="AK62" s="17" t="str">
        <f t="shared" si="5"/>
        <v>EM00015556</v>
      </c>
    </row>
    <row r="63" spans="1:37" ht="15" customHeight="1" x14ac:dyDescent="0.25">
      <c r="A63" s="75" t="str">
        <f>_xlfn.XLOOKUP(C63,[1]Sheet2!$D:$D,[1]Sheet2!$C:$C)</f>
        <v>EM00015996</v>
      </c>
      <c r="B63" s="37">
        <v>1312</v>
      </c>
      <c r="C63" s="51" t="s">
        <v>116</v>
      </c>
      <c r="D63" s="37">
        <v>1</v>
      </c>
      <c r="E63" s="47" t="s">
        <v>205</v>
      </c>
      <c r="F63" s="48">
        <v>46266</v>
      </c>
      <c r="G63" s="48">
        <v>46295</v>
      </c>
      <c r="H63" s="37" t="s">
        <v>293</v>
      </c>
      <c r="I63" s="51" t="s">
        <v>116</v>
      </c>
      <c r="J63" s="49" t="s">
        <v>31</v>
      </c>
      <c r="K63" s="51" t="s">
        <v>120</v>
      </c>
      <c r="L63" s="37"/>
      <c r="M63" s="37"/>
      <c r="N63" s="37" t="s">
        <v>198</v>
      </c>
      <c r="O63" s="37" t="s">
        <v>200</v>
      </c>
      <c r="P63" s="37" t="s">
        <v>31</v>
      </c>
      <c r="Q63" s="37"/>
      <c r="R63" s="37" t="s">
        <v>31</v>
      </c>
      <c r="S63" s="37"/>
      <c r="T63" s="37" t="s">
        <v>31</v>
      </c>
      <c r="U63" s="37"/>
      <c r="V63" s="50" t="s">
        <v>202</v>
      </c>
      <c r="W63" s="37" t="s">
        <v>203</v>
      </c>
      <c r="X63" s="37" t="s">
        <v>31</v>
      </c>
      <c r="Y63" s="37"/>
      <c r="Z63" s="37" t="s">
        <v>31</v>
      </c>
      <c r="AA63" s="37"/>
      <c r="AB63" s="37" t="s">
        <v>31</v>
      </c>
      <c r="AC63" s="37"/>
      <c r="AD63" s="37" t="s">
        <v>31</v>
      </c>
      <c r="AE63" s="37"/>
      <c r="AH63" s="17"/>
      <c r="AI63" s="17" t="b">
        <f t="shared" si="3"/>
        <v>1</v>
      </c>
      <c r="AJ63" s="17" t="b">
        <f t="shared" si="4"/>
        <v>1</v>
      </c>
      <c r="AK63" s="17" t="str">
        <f t="shared" si="5"/>
        <v>EM00000000</v>
      </c>
    </row>
    <row r="64" spans="1:37" ht="15" customHeight="1" x14ac:dyDescent="0.25">
      <c r="A64" s="75" t="str">
        <f>_xlfn.XLOOKUP(C64,[1]Sheet2!$D:$D,[1]Sheet2!$C:$C)</f>
        <v>EM00015747</v>
      </c>
      <c r="B64" s="37">
        <v>1312</v>
      </c>
      <c r="C64" s="51" t="s">
        <v>117</v>
      </c>
      <c r="D64" s="37">
        <v>1</v>
      </c>
      <c r="E64" s="47" t="s">
        <v>205</v>
      </c>
      <c r="F64" s="48">
        <v>46266</v>
      </c>
      <c r="G64" s="48">
        <v>46295</v>
      </c>
      <c r="H64" s="37" t="s">
        <v>184</v>
      </c>
      <c r="I64" s="51" t="s">
        <v>117</v>
      </c>
      <c r="J64" s="49" t="s">
        <v>31</v>
      </c>
      <c r="K64" s="51" t="s">
        <v>120</v>
      </c>
      <c r="L64" s="37"/>
      <c r="M64" s="37"/>
      <c r="N64" s="37" t="s">
        <v>198</v>
      </c>
      <c r="O64" s="37" t="s">
        <v>200</v>
      </c>
      <c r="P64" s="37" t="s">
        <v>31</v>
      </c>
      <c r="Q64" s="37"/>
      <c r="R64" s="37" t="s">
        <v>31</v>
      </c>
      <c r="S64" s="37"/>
      <c r="T64" s="37" t="s">
        <v>31</v>
      </c>
      <c r="U64" s="37"/>
      <c r="V64" s="50" t="s">
        <v>202</v>
      </c>
      <c r="W64" s="37" t="s">
        <v>203</v>
      </c>
      <c r="X64" s="37" t="s">
        <v>31</v>
      </c>
      <c r="Y64" s="37"/>
      <c r="Z64" s="37" t="s">
        <v>31</v>
      </c>
      <c r="AA64" s="37"/>
      <c r="AB64" s="37" t="s">
        <v>31</v>
      </c>
      <c r="AC64" s="37"/>
      <c r="AD64" s="37" t="s">
        <v>31</v>
      </c>
      <c r="AE64" s="37"/>
      <c r="AH64" s="17"/>
      <c r="AI64" s="17" t="b">
        <f t="shared" si="3"/>
        <v>1</v>
      </c>
      <c r="AJ64" s="17" t="b">
        <f t="shared" si="4"/>
        <v>1</v>
      </c>
      <c r="AK64" s="17" t="str">
        <f t="shared" si="5"/>
        <v>EM00000000</v>
      </c>
    </row>
    <row r="65" spans="1:37" ht="15" customHeight="1" x14ac:dyDescent="0.25">
      <c r="A65" s="75" t="str">
        <f>_xlfn.XLOOKUP(C65,[1]Sheet2!$D:$D,[1]Sheet2!$C:$C)</f>
        <v>EM00016014</v>
      </c>
      <c r="B65" s="37">
        <v>1312</v>
      </c>
      <c r="C65" s="51" t="s">
        <v>118</v>
      </c>
      <c r="D65" s="37">
        <v>1</v>
      </c>
      <c r="E65" s="47" t="s">
        <v>205</v>
      </c>
      <c r="F65" s="48">
        <v>46266</v>
      </c>
      <c r="G65" s="48">
        <v>46295</v>
      </c>
      <c r="H65" s="37" t="s">
        <v>294</v>
      </c>
      <c r="I65" s="51" t="s">
        <v>118</v>
      </c>
      <c r="J65" s="49" t="s">
        <v>31</v>
      </c>
      <c r="K65" s="51" t="s">
        <v>120</v>
      </c>
      <c r="L65" s="37"/>
      <c r="M65" s="37"/>
      <c r="N65" s="37" t="s">
        <v>198</v>
      </c>
      <c r="O65" s="37" t="s">
        <v>200</v>
      </c>
      <c r="P65" s="37" t="s">
        <v>31</v>
      </c>
      <c r="Q65" s="37"/>
      <c r="R65" s="37" t="s">
        <v>31</v>
      </c>
      <c r="S65" s="37"/>
      <c r="T65" s="37" t="s">
        <v>31</v>
      </c>
      <c r="U65" s="37"/>
      <c r="V65" s="50" t="s">
        <v>202</v>
      </c>
      <c r="W65" s="37" t="s">
        <v>203</v>
      </c>
      <c r="X65" s="37" t="s">
        <v>31</v>
      </c>
      <c r="Y65" s="37"/>
      <c r="Z65" s="37" t="s">
        <v>31</v>
      </c>
      <c r="AA65" s="37"/>
      <c r="AB65" s="37" t="s">
        <v>31</v>
      </c>
      <c r="AC65" s="37"/>
      <c r="AD65" s="37" t="s">
        <v>31</v>
      </c>
      <c r="AE65" s="37"/>
      <c r="AH65" s="17"/>
      <c r="AI65" s="17" t="b">
        <f t="shared" si="3"/>
        <v>1</v>
      </c>
      <c r="AJ65" s="17" t="b">
        <f t="shared" si="4"/>
        <v>1</v>
      </c>
      <c r="AK65" s="17" t="str">
        <f t="shared" si="5"/>
        <v>EM00000000</v>
      </c>
    </row>
    <row r="66" spans="1:37" ht="15" customHeight="1" x14ac:dyDescent="0.25">
      <c r="A66" s="75" t="str">
        <f>_xlfn.XLOOKUP(C66,[1]Sheet2!$D:$D,[1]Sheet2!$C:$C)</f>
        <v>EM00015765</v>
      </c>
      <c r="B66" s="37">
        <v>1312</v>
      </c>
      <c r="C66" s="51" t="s">
        <v>119</v>
      </c>
      <c r="D66" s="37">
        <v>1</v>
      </c>
      <c r="E66" s="47" t="s">
        <v>205</v>
      </c>
      <c r="F66" s="48">
        <v>46266</v>
      </c>
      <c r="G66" s="48">
        <v>46295</v>
      </c>
      <c r="H66" s="37" t="s">
        <v>185</v>
      </c>
      <c r="I66" s="51" t="s">
        <v>119</v>
      </c>
      <c r="J66" s="49" t="s">
        <v>31</v>
      </c>
      <c r="K66" s="51" t="s">
        <v>120</v>
      </c>
      <c r="L66" s="37"/>
      <c r="M66" s="37"/>
      <c r="N66" s="37" t="s">
        <v>198</v>
      </c>
      <c r="O66" s="37" t="s">
        <v>200</v>
      </c>
      <c r="P66" s="37" t="s">
        <v>31</v>
      </c>
      <c r="Q66" s="37"/>
      <c r="R66" s="37" t="s">
        <v>31</v>
      </c>
      <c r="S66" s="37"/>
      <c r="T66" s="37" t="s">
        <v>31</v>
      </c>
      <c r="U66" s="37"/>
      <c r="V66" s="50" t="s">
        <v>202</v>
      </c>
      <c r="W66" s="37" t="s">
        <v>203</v>
      </c>
      <c r="X66" s="37" t="s">
        <v>31</v>
      </c>
      <c r="Y66" s="37"/>
      <c r="Z66" s="37" t="s">
        <v>31</v>
      </c>
      <c r="AA66" s="37"/>
      <c r="AB66" s="37" t="s">
        <v>31</v>
      </c>
      <c r="AC66" s="37"/>
      <c r="AD66" s="37" t="s">
        <v>31</v>
      </c>
      <c r="AE66" s="37"/>
      <c r="AH66" s="17"/>
      <c r="AI66" s="17" t="b">
        <f t="shared" si="3"/>
        <v>1</v>
      </c>
      <c r="AJ66" s="17" t="b">
        <f t="shared" si="4"/>
        <v>1</v>
      </c>
      <c r="AK66" s="17" t="str">
        <f t="shared" si="5"/>
        <v>EM00000000</v>
      </c>
    </row>
    <row r="67" spans="1:37" ht="15" customHeight="1" x14ac:dyDescent="0.25">
      <c r="A67" s="75" t="str">
        <f>_xlfn.XLOOKUP(C67,[1]Sheet2!$D:$D,[1]Sheet2!$C:$C)</f>
        <v>EM00000000</v>
      </c>
      <c r="B67" s="37">
        <v>1312</v>
      </c>
      <c r="C67" s="51" t="s">
        <v>700</v>
      </c>
      <c r="D67" s="37">
        <v>1</v>
      </c>
      <c r="E67" s="47" t="s">
        <v>205</v>
      </c>
      <c r="F67" s="48">
        <v>46266</v>
      </c>
      <c r="G67" s="48">
        <v>46295</v>
      </c>
      <c r="H67" s="37" t="s">
        <v>31</v>
      </c>
      <c r="I67" s="51" t="s">
        <v>700</v>
      </c>
      <c r="J67" s="49" t="s">
        <v>31</v>
      </c>
      <c r="K67" s="51" t="s">
        <v>120</v>
      </c>
      <c r="L67" s="37"/>
      <c r="M67" s="37"/>
      <c r="N67" s="37" t="s">
        <v>198</v>
      </c>
      <c r="O67" s="37" t="s">
        <v>200</v>
      </c>
      <c r="P67" s="37" t="s">
        <v>31</v>
      </c>
      <c r="Q67" s="37"/>
      <c r="R67" s="37" t="s">
        <v>31</v>
      </c>
      <c r="S67" s="37"/>
      <c r="T67" s="37" t="s">
        <v>31</v>
      </c>
      <c r="U67" s="37"/>
      <c r="V67" s="50" t="s">
        <v>202</v>
      </c>
      <c r="W67" s="37" t="s">
        <v>203</v>
      </c>
      <c r="X67" s="37" t="s">
        <v>31</v>
      </c>
      <c r="Y67" s="37"/>
      <c r="Z67" s="37" t="s">
        <v>31</v>
      </c>
      <c r="AA67" s="37"/>
      <c r="AB67" s="37" t="s">
        <v>31</v>
      </c>
      <c r="AC67" s="37"/>
      <c r="AD67" s="37" t="s">
        <v>31</v>
      </c>
      <c r="AE67" s="37"/>
      <c r="AH67" s="17"/>
      <c r="AI67" s="17" t="b">
        <f t="shared" ref="AI67:AI130" si="6">IF(D67=1,A67=H67,IF(D67=2,A67=J67,IF(D67=4,A67=N67,IF(D67=6,A67=R67,IF(D67=7,A67=T67,IF(D67=8,A67=V67,IF(D67=9,A67=X67,IF(D67=10,A67=Z67,IF(D67=11,A67=AB67,IF(D67=12,A67=AD67,IF(D67=13,A67=AF67)))))))))))</f>
        <v>1</v>
      </c>
      <c r="AJ67" s="17" t="b">
        <f t="shared" ref="AJ67:AJ130" si="7">IF(D67=1,C67=I67,IF(D67=2,C67=K67,IF(D67=4,C67=O67,IF(D67=6,C67=S67,IF(D67=7,C67=U67,IF(D67=8,C67=W67,IF(D67=9,C67=Y67,IF(D67=10,C67=AA67,IF(D67=11,C67=AC67,IF(D67=12,C67=AE67,IF(D67=13,C67=AG67)))))))))))</f>
        <v>1</v>
      </c>
      <c r="AK67" s="17" t="str">
        <f t="shared" ref="AK67:AK130" si="8">IF(D67=1,J67,IF(D67=2,N67,IF(D67=4,R67,IF(D67=6,T67,IF(D67=7,V67,IF(D67=8,X67,IF(D67=9,Z67)))))))</f>
        <v>EM00000000</v>
      </c>
    </row>
    <row r="68" spans="1:37" ht="15" customHeight="1" x14ac:dyDescent="0.25">
      <c r="A68" s="75" t="str">
        <f>_xlfn.XLOOKUP(C68,[1]Sheet2!$D:$D,[1]Sheet2!$C:$C)</f>
        <v>EM00016466</v>
      </c>
      <c r="B68" s="37">
        <v>1312</v>
      </c>
      <c r="C68" s="51" t="s">
        <v>120</v>
      </c>
      <c r="D68" s="37">
        <v>2</v>
      </c>
      <c r="E68" s="47" t="s">
        <v>205</v>
      </c>
      <c r="F68" s="48">
        <v>46266</v>
      </c>
      <c r="G68" s="48">
        <v>46295</v>
      </c>
      <c r="H68" s="37"/>
      <c r="I68" s="37"/>
      <c r="J68" s="49" t="s">
        <v>935</v>
      </c>
      <c r="K68" s="51" t="s">
        <v>120</v>
      </c>
      <c r="L68" s="37"/>
      <c r="M68" s="37"/>
      <c r="N68" s="37" t="s">
        <v>198</v>
      </c>
      <c r="O68" s="37" t="s">
        <v>200</v>
      </c>
      <c r="P68" s="37" t="s">
        <v>31</v>
      </c>
      <c r="Q68" s="37"/>
      <c r="R68" s="37" t="s">
        <v>31</v>
      </c>
      <c r="S68" s="37"/>
      <c r="T68" s="37" t="s">
        <v>31</v>
      </c>
      <c r="U68" s="37"/>
      <c r="V68" s="50" t="s">
        <v>202</v>
      </c>
      <c r="W68" s="37" t="s">
        <v>203</v>
      </c>
      <c r="X68" s="37" t="s">
        <v>31</v>
      </c>
      <c r="Y68" s="37"/>
      <c r="Z68" s="37" t="s">
        <v>31</v>
      </c>
      <c r="AA68" s="37"/>
      <c r="AB68" s="37" t="s">
        <v>31</v>
      </c>
      <c r="AC68" s="37"/>
      <c r="AD68" s="37" t="s">
        <v>31</v>
      </c>
      <c r="AE68" s="37"/>
      <c r="AH68" s="17"/>
      <c r="AI68" s="17" t="b">
        <f t="shared" si="6"/>
        <v>1</v>
      </c>
      <c r="AJ68" s="17" t="b">
        <f t="shared" si="7"/>
        <v>1</v>
      </c>
      <c r="AK68" s="17" t="str">
        <f t="shared" si="8"/>
        <v>EM00015556</v>
      </c>
    </row>
    <row r="69" spans="1:37" ht="15" customHeight="1" x14ac:dyDescent="0.25">
      <c r="A69" s="37" t="s">
        <v>198</v>
      </c>
      <c r="B69" s="37">
        <v>1312</v>
      </c>
      <c r="C69" s="37" t="s">
        <v>200</v>
      </c>
      <c r="D69" s="37">
        <v>4</v>
      </c>
      <c r="E69" s="47" t="s">
        <v>205</v>
      </c>
      <c r="F69" s="48">
        <v>46266</v>
      </c>
      <c r="G69" s="48">
        <v>46295</v>
      </c>
      <c r="H69" s="37"/>
      <c r="I69" s="37"/>
      <c r="J69" s="37"/>
      <c r="K69" s="51"/>
      <c r="L69" s="37"/>
      <c r="M69" s="37"/>
      <c r="N69" s="37" t="s">
        <v>198</v>
      </c>
      <c r="O69" s="37" t="s">
        <v>200</v>
      </c>
      <c r="P69" s="37" t="s">
        <v>31</v>
      </c>
      <c r="Q69" s="37"/>
      <c r="R69" s="37" t="s">
        <v>31</v>
      </c>
      <c r="S69" s="37"/>
      <c r="T69" s="37" t="s">
        <v>31</v>
      </c>
      <c r="U69" s="37"/>
      <c r="V69" s="50" t="s">
        <v>202</v>
      </c>
      <c r="W69" s="37" t="s">
        <v>203</v>
      </c>
      <c r="X69" s="37" t="s">
        <v>31</v>
      </c>
      <c r="Y69" s="37"/>
      <c r="Z69" s="37" t="s">
        <v>31</v>
      </c>
      <c r="AA69" s="37"/>
      <c r="AB69" s="37" t="s">
        <v>31</v>
      </c>
      <c r="AC69" s="37"/>
      <c r="AD69" s="37" t="s">
        <v>31</v>
      </c>
      <c r="AE69" s="37"/>
      <c r="AH69" s="17"/>
      <c r="AI69" s="17" t="b">
        <f t="shared" si="6"/>
        <v>1</v>
      </c>
      <c r="AJ69" s="17" t="b">
        <f t="shared" si="7"/>
        <v>1</v>
      </c>
      <c r="AK69" s="17" t="str">
        <f t="shared" si="8"/>
        <v>EM00000000</v>
      </c>
    </row>
    <row r="70" spans="1:37" ht="15" customHeight="1" x14ac:dyDescent="0.25">
      <c r="A70" s="37" t="s">
        <v>198</v>
      </c>
      <c r="B70" s="37">
        <v>1314</v>
      </c>
      <c r="C70" s="37" t="s">
        <v>200</v>
      </c>
      <c r="D70" s="37">
        <v>4</v>
      </c>
      <c r="E70" s="47" t="s">
        <v>205</v>
      </c>
      <c r="F70" s="48">
        <v>46266</v>
      </c>
      <c r="G70" s="48">
        <v>46295</v>
      </c>
      <c r="H70" s="37"/>
      <c r="I70" s="37"/>
      <c r="J70" s="37"/>
      <c r="K70" s="51"/>
      <c r="L70" s="37"/>
      <c r="M70" s="37"/>
      <c r="N70" s="37" t="s">
        <v>198</v>
      </c>
      <c r="O70" s="37" t="s">
        <v>200</v>
      </c>
      <c r="P70" s="37" t="s">
        <v>31</v>
      </c>
      <c r="Q70" s="37"/>
      <c r="R70" s="37" t="s">
        <v>31</v>
      </c>
      <c r="S70" s="37"/>
      <c r="T70" s="37" t="s">
        <v>31</v>
      </c>
      <c r="U70" s="37"/>
      <c r="V70" s="50" t="s">
        <v>202</v>
      </c>
      <c r="W70" s="37" t="s">
        <v>203</v>
      </c>
      <c r="X70" s="37" t="s">
        <v>31</v>
      </c>
      <c r="Y70" s="37"/>
      <c r="Z70" s="37" t="s">
        <v>31</v>
      </c>
      <c r="AA70" s="37"/>
      <c r="AB70" s="37" t="s">
        <v>31</v>
      </c>
      <c r="AC70" s="37"/>
      <c r="AD70" s="37" t="s">
        <v>31</v>
      </c>
      <c r="AE70" s="37"/>
      <c r="AH70" s="17"/>
      <c r="AI70" s="17" t="b">
        <f t="shared" si="6"/>
        <v>1</v>
      </c>
      <c r="AJ70" s="17" t="b">
        <f t="shared" si="7"/>
        <v>1</v>
      </c>
      <c r="AK70" s="17" t="str">
        <f t="shared" si="8"/>
        <v>EM00000000</v>
      </c>
    </row>
    <row r="71" spans="1:37" ht="15" customHeight="1" x14ac:dyDescent="0.25">
      <c r="A71" s="37" t="s">
        <v>198</v>
      </c>
      <c r="B71" s="37">
        <v>1329</v>
      </c>
      <c r="C71" s="37" t="s">
        <v>200</v>
      </c>
      <c r="D71" s="37">
        <v>4</v>
      </c>
      <c r="E71" s="47" t="s">
        <v>205</v>
      </c>
      <c r="F71" s="48">
        <v>46266</v>
      </c>
      <c r="G71" s="48">
        <v>46295</v>
      </c>
      <c r="H71" s="37"/>
      <c r="I71" s="37"/>
      <c r="J71" s="37"/>
      <c r="K71" s="51"/>
      <c r="L71" s="37"/>
      <c r="M71" s="37"/>
      <c r="N71" s="37" t="s">
        <v>198</v>
      </c>
      <c r="O71" s="37" t="s">
        <v>200</v>
      </c>
      <c r="P71" s="37" t="s">
        <v>31</v>
      </c>
      <c r="Q71" s="37"/>
      <c r="R71" s="37" t="s">
        <v>31</v>
      </c>
      <c r="S71" s="37"/>
      <c r="T71" s="37" t="s">
        <v>31</v>
      </c>
      <c r="U71" s="37"/>
      <c r="V71" s="50" t="s">
        <v>202</v>
      </c>
      <c r="W71" s="37" t="s">
        <v>203</v>
      </c>
      <c r="X71" s="37" t="s">
        <v>31</v>
      </c>
      <c r="Y71" s="37"/>
      <c r="Z71" s="37" t="s">
        <v>31</v>
      </c>
      <c r="AA71" s="37"/>
      <c r="AB71" s="37" t="s">
        <v>31</v>
      </c>
      <c r="AC71" s="37"/>
      <c r="AD71" s="37" t="s">
        <v>31</v>
      </c>
      <c r="AE71" s="37"/>
      <c r="AH71" s="17"/>
      <c r="AI71" s="17" t="b">
        <f t="shared" si="6"/>
        <v>1</v>
      </c>
      <c r="AJ71" s="17" t="b">
        <f t="shared" si="7"/>
        <v>1</v>
      </c>
      <c r="AK71" s="17" t="str">
        <f t="shared" si="8"/>
        <v>EM00000000</v>
      </c>
    </row>
    <row r="72" spans="1:37" ht="15" customHeight="1" x14ac:dyDescent="0.25">
      <c r="A72" s="37" t="s">
        <v>198</v>
      </c>
      <c r="B72" s="37">
        <v>1334</v>
      </c>
      <c r="C72" s="37" t="s">
        <v>200</v>
      </c>
      <c r="D72" s="37">
        <v>4</v>
      </c>
      <c r="E72" s="47" t="s">
        <v>205</v>
      </c>
      <c r="F72" s="48">
        <v>46266</v>
      </c>
      <c r="G72" s="48">
        <v>46295</v>
      </c>
      <c r="H72" s="37"/>
      <c r="I72" s="37"/>
      <c r="J72" s="37"/>
      <c r="K72" s="51"/>
      <c r="L72" s="37"/>
      <c r="M72" s="37"/>
      <c r="N72" s="37" t="s">
        <v>198</v>
      </c>
      <c r="O72" s="37" t="s">
        <v>200</v>
      </c>
      <c r="P72" s="37" t="s">
        <v>31</v>
      </c>
      <c r="Q72" s="37"/>
      <c r="R72" s="37" t="s">
        <v>31</v>
      </c>
      <c r="S72" s="37"/>
      <c r="T72" s="37" t="s">
        <v>31</v>
      </c>
      <c r="U72" s="37"/>
      <c r="V72" s="50" t="s">
        <v>202</v>
      </c>
      <c r="W72" s="37" t="s">
        <v>203</v>
      </c>
      <c r="X72" s="37" t="s">
        <v>31</v>
      </c>
      <c r="Y72" s="37"/>
      <c r="Z72" s="37" t="s">
        <v>31</v>
      </c>
      <c r="AA72" s="37"/>
      <c r="AB72" s="37" t="s">
        <v>31</v>
      </c>
      <c r="AC72" s="37"/>
      <c r="AD72" s="37" t="s">
        <v>31</v>
      </c>
      <c r="AE72" s="37"/>
      <c r="AH72" s="17"/>
      <c r="AI72" s="17" t="b">
        <f t="shared" si="6"/>
        <v>1</v>
      </c>
      <c r="AJ72" s="17" t="b">
        <f t="shared" si="7"/>
        <v>1</v>
      </c>
      <c r="AK72" s="17" t="str">
        <f t="shared" si="8"/>
        <v>EM00000000</v>
      </c>
    </row>
    <row r="73" spans="1:37" ht="15" customHeight="1" x14ac:dyDescent="0.25">
      <c r="A73" s="75" t="str">
        <f>_xlfn.XLOOKUP(C73,[1]Sheet2!$D:$D,[1]Sheet2!$C:$C)</f>
        <v>EM00015595</v>
      </c>
      <c r="B73" s="37">
        <v>1336</v>
      </c>
      <c r="C73" s="51" t="s">
        <v>121</v>
      </c>
      <c r="D73" s="37">
        <v>1</v>
      </c>
      <c r="E73" s="47" t="s">
        <v>205</v>
      </c>
      <c r="F73" s="48">
        <v>46266</v>
      </c>
      <c r="G73" s="48">
        <v>46295</v>
      </c>
      <c r="H73" s="37" t="s">
        <v>186</v>
      </c>
      <c r="I73" s="51" t="s">
        <v>121</v>
      </c>
      <c r="J73" s="49" t="s">
        <v>473</v>
      </c>
      <c r="K73" s="49" t="s">
        <v>127</v>
      </c>
      <c r="L73" s="37"/>
      <c r="M73" s="37"/>
      <c r="N73" s="37" t="s">
        <v>201</v>
      </c>
      <c r="O73" s="37" t="s">
        <v>199</v>
      </c>
      <c r="P73" s="37" t="s">
        <v>31</v>
      </c>
      <c r="Q73" s="37"/>
      <c r="R73" s="37" t="s">
        <v>31</v>
      </c>
      <c r="S73" s="37"/>
      <c r="T73" s="37" t="s">
        <v>204</v>
      </c>
      <c r="U73" s="37" t="s">
        <v>350</v>
      </c>
      <c r="V73" s="50" t="s">
        <v>31</v>
      </c>
      <c r="W73" s="37"/>
      <c r="X73" s="37" t="s">
        <v>31</v>
      </c>
      <c r="Y73" s="37"/>
      <c r="Z73" s="37" t="s">
        <v>31</v>
      </c>
      <c r="AA73" s="37"/>
      <c r="AB73" s="37" t="s">
        <v>31</v>
      </c>
      <c r="AC73" s="37"/>
      <c r="AD73" s="37" t="s">
        <v>31</v>
      </c>
      <c r="AE73" s="37"/>
      <c r="AH73" s="17"/>
      <c r="AI73" s="17" t="b">
        <f t="shared" si="6"/>
        <v>1</v>
      </c>
      <c r="AJ73" s="17" t="b">
        <f t="shared" si="7"/>
        <v>1</v>
      </c>
      <c r="AK73" s="17" t="str">
        <f t="shared" si="8"/>
        <v>EM00016192</v>
      </c>
    </row>
    <row r="74" spans="1:37" ht="15" customHeight="1" x14ac:dyDescent="0.25">
      <c r="A74" s="75" t="str">
        <f>_xlfn.XLOOKUP(C74,[1]Sheet2!$D:$D,[1]Sheet2!$C:$C)</f>
        <v>EM00015596</v>
      </c>
      <c r="B74" s="37">
        <v>1336</v>
      </c>
      <c r="C74" s="51" t="s">
        <v>122</v>
      </c>
      <c r="D74" s="37">
        <v>1</v>
      </c>
      <c r="E74" s="47" t="s">
        <v>205</v>
      </c>
      <c r="F74" s="48">
        <v>46266</v>
      </c>
      <c r="G74" s="48">
        <v>46295</v>
      </c>
      <c r="H74" s="37" t="s">
        <v>187</v>
      </c>
      <c r="I74" s="51" t="s">
        <v>122</v>
      </c>
      <c r="J74" s="49" t="s">
        <v>473</v>
      </c>
      <c r="K74" s="49" t="s">
        <v>127</v>
      </c>
      <c r="L74" s="37"/>
      <c r="M74" s="37"/>
      <c r="N74" s="37" t="s">
        <v>201</v>
      </c>
      <c r="O74" s="37" t="s">
        <v>199</v>
      </c>
      <c r="P74" s="37" t="s">
        <v>31</v>
      </c>
      <c r="Q74" s="37"/>
      <c r="R74" s="37" t="s">
        <v>31</v>
      </c>
      <c r="S74" s="37"/>
      <c r="T74" s="37" t="s">
        <v>204</v>
      </c>
      <c r="U74" s="37" t="s">
        <v>350</v>
      </c>
      <c r="V74" s="50" t="s">
        <v>31</v>
      </c>
      <c r="W74" s="37"/>
      <c r="X74" s="37" t="s">
        <v>31</v>
      </c>
      <c r="Y74" s="37"/>
      <c r="Z74" s="37" t="s">
        <v>31</v>
      </c>
      <c r="AA74" s="37"/>
      <c r="AB74" s="37" t="s">
        <v>31</v>
      </c>
      <c r="AC74" s="37"/>
      <c r="AD74" s="37" t="s">
        <v>31</v>
      </c>
      <c r="AE74" s="37"/>
      <c r="AH74" s="17"/>
      <c r="AI74" s="17" t="b">
        <f t="shared" si="6"/>
        <v>1</v>
      </c>
      <c r="AJ74" s="17" t="b">
        <f t="shared" si="7"/>
        <v>1</v>
      </c>
      <c r="AK74" s="17" t="str">
        <f t="shared" si="8"/>
        <v>EM00016192</v>
      </c>
    </row>
    <row r="75" spans="1:37" ht="15" customHeight="1" x14ac:dyDescent="0.25">
      <c r="A75" s="75" t="str">
        <f>_xlfn.XLOOKUP(C75,[1]Sheet2!$D:$D,[1]Sheet2!$C:$C)</f>
        <v>EM00015994</v>
      </c>
      <c r="B75" s="37">
        <v>1336</v>
      </c>
      <c r="C75" s="51" t="s">
        <v>123</v>
      </c>
      <c r="D75" s="37">
        <v>1</v>
      </c>
      <c r="E75" s="47" t="s">
        <v>205</v>
      </c>
      <c r="F75" s="48">
        <v>46266</v>
      </c>
      <c r="G75" s="48">
        <v>46295</v>
      </c>
      <c r="H75" s="37" t="s">
        <v>295</v>
      </c>
      <c r="I75" s="51" t="s">
        <v>123</v>
      </c>
      <c r="J75" s="49" t="s">
        <v>473</v>
      </c>
      <c r="K75" s="49" t="s">
        <v>127</v>
      </c>
      <c r="L75" s="37"/>
      <c r="M75" s="37"/>
      <c r="N75" s="37" t="s">
        <v>201</v>
      </c>
      <c r="O75" s="37" t="s">
        <v>199</v>
      </c>
      <c r="P75" s="37" t="s">
        <v>31</v>
      </c>
      <c r="Q75" s="37"/>
      <c r="R75" s="37" t="s">
        <v>31</v>
      </c>
      <c r="S75" s="37"/>
      <c r="T75" s="37" t="s">
        <v>204</v>
      </c>
      <c r="U75" s="37" t="s">
        <v>350</v>
      </c>
      <c r="V75" s="50" t="s">
        <v>31</v>
      </c>
      <c r="W75" s="37"/>
      <c r="X75" s="37" t="s">
        <v>31</v>
      </c>
      <c r="Y75" s="37"/>
      <c r="Z75" s="37" t="s">
        <v>31</v>
      </c>
      <c r="AA75" s="37"/>
      <c r="AB75" s="37" t="s">
        <v>31</v>
      </c>
      <c r="AC75" s="37"/>
      <c r="AD75" s="37" t="s">
        <v>31</v>
      </c>
      <c r="AE75" s="37"/>
      <c r="AH75" s="17"/>
      <c r="AI75" s="17" t="b">
        <f t="shared" si="6"/>
        <v>1</v>
      </c>
      <c r="AJ75" s="17" t="b">
        <f t="shared" si="7"/>
        <v>1</v>
      </c>
      <c r="AK75" s="17" t="str">
        <f t="shared" si="8"/>
        <v>EM00016192</v>
      </c>
    </row>
    <row r="76" spans="1:37" ht="15" customHeight="1" x14ac:dyDescent="0.25">
      <c r="A76" s="75" t="str">
        <f>_xlfn.XLOOKUP(C76,[1]Sheet2!$D:$D,[1]Sheet2!$C:$C)</f>
        <v>EM00016281</v>
      </c>
      <c r="B76" s="37">
        <v>1336</v>
      </c>
      <c r="C76" s="37" t="s">
        <v>124</v>
      </c>
      <c r="D76" s="37">
        <v>1</v>
      </c>
      <c r="E76" s="47" t="s">
        <v>205</v>
      </c>
      <c r="F76" s="48">
        <v>46266</v>
      </c>
      <c r="G76" s="48">
        <v>46295</v>
      </c>
      <c r="H76" s="37" t="s">
        <v>457</v>
      </c>
      <c r="I76" s="37" t="s">
        <v>124</v>
      </c>
      <c r="J76" s="49" t="s">
        <v>473</v>
      </c>
      <c r="K76" s="49" t="s">
        <v>127</v>
      </c>
      <c r="L76" s="37"/>
      <c r="M76" s="37"/>
      <c r="N76" s="37" t="s">
        <v>201</v>
      </c>
      <c r="O76" s="37" t="s">
        <v>199</v>
      </c>
      <c r="P76" s="37" t="s">
        <v>31</v>
      </c>
      <c r="Q76" s="37"/>
      <c r="R76" s="37" t="s">
        <v>31</v>
      </c>
      <c r="S76" s="37"/>
      <c r="T76" s="37" t="s">
        <v>204</v>
      </c>
      <c r="U76" s="37" t="s">
        <v>350</v>
      </c>
      <c r="V76" s="50" t="s">
        <v>31</v>
      </c>
      <c r="W76" s="37"/>
      <c r="X76" s="37" t="s">
        <v>31</v>
      </c>
      <c r="Y76" s="37"/>
      <c r="Z76" s="37" t="s">
        <v>31</v>
      </c>
      <c r="AA76" s="37"/>
      <c r="AB76" s="37" t="s">
        <v>31</v>
      </c>
      <c r="AC76" s="37"/>
      <c r="AD76" s="37" t="s">
        <v>31</v>
      </c>
      <c r="AE76" s="37"/>
      <c r="AH76" s="17"/>
      <c r="AI76" s="17" t="b">
        <f t="shared" si="6"/>
        <v>1</v>
      </c>
      <c r="AJ76" s="17" t="b">
        <f t="shared" si="7"/>
        <v>1</v>
      </c>
      <c r="AK76" s="17" t="str">
        <f t="shared" si="8"/>
        <v>EM00016192</v>
      </c>
    </row>
    <row r="77" spans="1:37" ht="15" customHeight="1" x14ac:dyDescent="0.25">
      <c r="A77" s="75" t="str">
        <f>_xlfn.XLOOKUP(C77,[1]Sheet2!$D:$D,[1]Sheet2!$C:$C)</f>
        <v>EM00015977</v>
      </c>
      <c r="B77" s="37">
        <v>1336</v>
      </c>
      <c r="C77" s="37" t="s">
        <v>125</v>
      </c>
      <c r="D77" s="37">
        <v>1</v>
      </c>
      <c r="E77" s="47" t="s">
        <v>205</v>
      </c>
      <c r="F77" s="48">
        <v>46266</v>
      </c>
      <c r="G77" s="48">
        <v>46295</v>
      </c>
      <c r="H77" s="37" t="s">
        <v>296</v>
      </c>
      <c r="I77" s="37" t="s">
        <v>125</v>
      </c>
      <c r="J77" s="49" t="s">
        <v>473</v>
      </c>
      <c r="K77" s="49" t="s">
        <v>127</v>
      </c>
      <c r="L77" s="37"/>
      <c r="M77" s="37"/>
      <c r="N77" s="37" t="s">
        <v>201</v>
      </c>
      <c r="O77" s="37" t="s">
        <v>199</v>
      </c>
      <c r="P77" s="37" t="s">
        <v>31</v>
      </c>
      <c r="Q77" s="37"/>
      <c r="R77" s="37" t="s">
        <v>31</v>
      </c>
      <c r="S77" s="37"/>
      <c r="T77" s="37" t="s">
        <v>204</v>
      </c>
      <c r="U77" s="37" t="s">
        <v>350</v>
      </c>
      <c r="V77" s="50" t="s">
        <v>31</v>
      </c>
      <c r="W77" s="37"/>
      <c r="X77" s="37" t="s">
        <v>31</v>
      </c>
      <c r="Y77" s="37"/>
      <c r="Z77" s="37" t="s">
        <v>31</v>
      </c>
      <c r="AA77" s="37"/>
      <c r="AB77" s="37" t="s">
        <v>31</v>
      </c>
      <c r="AC77" s="37"/>
      <c r="AD77" s="37" t="s">
        <v>31</v>
      </c>
      <c r="AE77" s="37"/>
      <c r="AH77" s="17"/>
      <c r="AI77" s="17" t="b">
        <f t="shared" si="6"/>
        <v>1</v>
      </c>
      <c r="AJ77" s="17" t="b">
        <f t="shared" si="7"/>
        <v>1</v>
      </c>
      <c r="AK77" s="17" t="str">
        <f t="shared" si="8"/>
        <v>EM00016192</v>
      </c>
    </row>
    <row r="78" spans="1:37" ht="15" customHeight="1" x14ac:dyDescent="0.25">
      <c r="A78" s="75" t="str">
        <f>_xlfn.XLOOKUP(C78,[1]Sheet2!$D:$D,[1]Sheet2!$C:$C)</f>
        <v>EM00016282</v>
      </c>
      <c r="B78" s="37">
        <v>1336</v>
      </c>
      <c r="C78" s="51" t="s">
        <v>126</v>
      </c>
      <c r="D78" s="37">
        <v>1</v>
      </c>
      <c r="E78" s="47" t="s">
        <v>205</v>
      </c>
      <c r="F78" s="48">
        <v>46266</v>
      </c>
      <c r="G78" s="48">
        <v>46295</v>
      </c>
      <c r="H78" s="37" t="s">
        <v>458</v>
      </c>
      <c r="I78" s="51" t="s">
        <v>126</v>
      </c>
      <c r="J78" s="49" t="s">
        <v>473</v>
      </c>
      <c r="K78" s="49" t="s">
        <v>127</v>
      </c>
      <c r="L78" s="37"/>
      <c r="M78" s="37"/>
      <c r="N78" s="37" t="s">
        <v>201</v>
      </c>
      <c r="O78" s="37" t="s">
        <v>199</v>
      </c>
      <c r="P78" s="37" t="s">
        <v>31</v>
      </c>
      <c r="Q78" s="37"/>
      <c r="R78" s="37" t="s">
        <v>31</v>
      </c>
      <c r="S78" s="37"/>
      <c r="T78" s="37" t="s">
        <v>204</v>
      </c>
      <c r="U78" s="37" t="s">
        <v>350</v>
      </c>
      <c r="V78" s="50" t="s">
        <v>31</v>
      </c>
      <c r="W78" s="37"/>
      <c r="X78" s="37" t="s">
        <v>31</v>
      </c>
      <c r="Y78" s="37"/>
      <c r="Z78" s="37" t="s">
        <v>31</v>
      </c>
      <c r="AA78" s="37"/>
      <c r="AB78" s="37" t="s">
        <v>31</v>
      </c>
      <c r="AC78" s="37"/>
      <c r="AD78" s="37" t="s">
        <v>31</v>
      </c>
      <c r="AE78" s="37"/>
      <c r="AH78" s="17"/>
      <c r="AI78" s="17" t="b">
        <f t="shared" si="6"/>
        <v>1</v>
      </c>
      <c r="AJ78" s="17" t="b">
        <f t="shared" si="7"/>
        <v>1</v>
      </c>
      <c r="AK78" s="17" t="str">
        <f t="shared" si="8"/>
        <v>EM00016192</v>
      </c>
    </row>
    <row r="79" spans="1:37" ht="15" customHeight="1" x14ac:dyDescent="0.25">
      <c r="A79" s="75" t="str">
        <f>_xlfn.XLOOKUP(C79,[1]Sheet2!$D:$D,[1]Sheet2!$C:$C)</f>
        <v>EM00016192</v>
      </c>
      <c r="B79" s="37">
        <v>1336</v>
      </c>
      <c r="C79" s="49" t="s">
        <v>127</v>
      </c>
      <c r="D79" s="37">
        <v>2</v>
      </c>
      <c r="E79" s="47" t="s">
        <v>205</v>
      </c>
      <c r="F79" s="48">
        <v>46266</v>
      </c>
      <c r="G79" s="48">
        <v>46295</v>
      </c>
      <c r="H79" s="37"/>
      <c r="I79" s="37"/>
      <c r="J79" s="49" t="s">
        <v>473</v>
      </c>
      <c r="K79" s="49" t="s">
        <v>127</v>
      </c>
      <c r="L79" s="37"/>
      <c r="M79" s="37"/>
      <c r="N79" s="37" t="s">
        <v>201</v>
      </c>
      <c r="O79" s="37" t="s">
        <v>199</v>
      </c>
      <c r="P79" s="37" t="s">
        <v>31</v>
      </c>
      <c r="Q79" s="37"/>
      <c r="R79" s="37" t="s">
        <v>31</v>
      </c>
      <c r="S79" s="37"/>
      <c r="T79" s="37" t="s">
        <v>204</v>
      </c>
      <c r="U79" s="37" t="s">
        <v>350</v>
      </c>
      <c r="V79" s="50" t="s">
        <v>31</v>
      </c>
      <c r="W79" s="37"/>
      <c r="X79" s="37" t="s">
        <v>31</v>
      </c>
      <c r="Y79" s="37"/>
      <c r="Z79" s="37" t="s">
        <v>31</v>
      </c>
      <c r="AA79" s="37"/>
      <c r="AB79" s="37" t="s">
        <v>31</v>
      </c>
      <c r="AC79" s="37"/>
      <c r="AD79" s="37" t="s">
        <v>31</v>
      </c>
      <c r="AE79" s="37"/>
      <c r="AH79" s="17"/>
      <c r="AI79" s="17" t="b">
        <f t="shared" si="6"/>
        <v>1</v>
      </c>
      <c r="AJ79" s="17" t="b">
        <f t="shared" si="7"/>
        <v>1</v>
      </c>
      <c r="AK79" s="17" t="str">
        <f t="shared" si="8"/>
        <v>EM00004537</v>
      </c>
    </row>
    <row r="80" spans="1:37" ht="15" customHeight="1" x14ac:dyDescent="0.25">
      <c r="A80" s="75" t="str">
        <f>_xlfn.XLOOKUP(C80,[1]Sheet2!$D:$D,[1]Sheet2!$C:$C)</f>
        <v>EM00015986</v>
      </c>
      <c r="B80" s="37">
        <v>1313</v>
      </c>
      <c r="C80" s="51" t="s">
        <v>128</v>
      </c>
      <c r="D80" s="37">
        <v>1</v>
      </c>
      <c r="E80" s="47" t="s">
        <v>205</v>
      </c>
      <c r="F80" s="48">
        <v>46266</v>
      </c>
      <c r="G80" s="48">
        <v>46295</v>
      </c>
      <c r="H80" s="37" t="s">
        <v>297</v>
      </c>
      <c r="I80" s="51" t="s">
        <v>128</v>
      </c>
      <c r="J80" s="49" t="s">
        <v>188</v>
      </c>
      <c r="K80" s="49" t="s">
        <v>134</v>
      </c>
      <c r="L80" s="37"/>
      <c r="M80" s="37"/>
      <c r="N80" s="37" t="s">
        <v>201</v>
      </c>
      <c r="O80" s="37" t="s">
        <v>199</v>
      </c>
      <c r="P80" s="37" t="s">
        <v>31</v>
      </c>
      <c r="Q80" s="37"/>
      <c r="R80" s="37" t="s">
        <v>31</v>
      </c>
      <c r="S80" s="37"/>
      <c r="T80" s="37" t="s">
        <v>204</v>
      </c>
      <c r="U80" s="37" t="s">
        <v>350</v>
      </c>
      <c r="V80" s="50" t="s">
        <v>31</v>
      </c>
      <c r="W80" s="37"/>
      <c r="X80" s="37" t="s">
        <v>31</v>
      </c>
      <c r="Y80" s="37"/>
      <c r="Z80" s="37" t="s">
        <v>31</v>
      </c>
      <c r="AA80" s="37"/>
      <c r="AB80" s="37" t="s">
        <v>31</v>
      </c>
      <c r="AC80" s="37"/>
      <c r="AD80" s="37" t="s">
        <v>31</v>
      </c>
      <c r="AE80" s="37"/>
      <c r="AH80" s="17"/>
      <c r="AI80" s="17" t="b">
        <f t="shared" si="6"/>
        <v>1</v>
      </c>
      <c r="AJ80" s="17" t="b">
        <f t="shared" si="7"/>
        <v>1</v>
      </c>
      <c r="AK80" s="17" t="str">
        <f t="shared" si="8"/>
        <v>EM00008760</v>
      </c>
    </row>
    <row r="81" spans="1:37" ht="15" customHeight="1" x14ac:dyDescent="0.25">
      <c r="A81" s="75" t="str">
        <f>_xlfn.XLOOKUP(C81,[1]Sheet2!$D:$D,[1]Sheet2!$C:$C)</f>
        <v>EM00015988</v>
      </c>
      <c r="B81" s="37">
        <v>1313</v>
      </c>
      <c r="C81" s="51" t="s">
        <v>129</v>
      </c>
      <c r="D81" s="37">
        <v>1</v>
      </c>
      <c r="E81" s="47" t="s">
        <v>205</v>
      </c>
      <c r="F81" s="48">
        <v>46266</v>
      </c>
      <c r="G81" s="48">
        <v>46295</v>
      </c>
      <c r="H81" s="37" t="s">
        <v>298</v>
      </c>
      <c r="I81" s="51" t="s">
        <v>129</v>
      </c>
      <c r="J81" s="49" t="s">
        <v>188</v>
      </c>
      <c r="K81" s="49" t="s">
        <v>134</v>
      </c>
      <c r="L81" s="37"/>
      <c r="M81" s="37"/>
      <c r="N81" s="37" t="s">
        <v>201</v>
      </c>
      <c r="O81" s="37" t="s">
        <v>199</v>
      </c>
      <c r="P81" s="37" t="s">
        <v>31</v>
      </c>
      <c r="Q81" s="37"/>
      <c r="R81" s="37" t="s">
        <v>31</v>
      </c>
      <c r="S81" s="37"/>
      <c r="T81" s="37" t="s">
        <v>204</v>
      </c>
      <c r="U81" s="37" t="s">
        <v>350</v>
      </c>
      <c r="V81" s="50" t="s">
        <v>31</v>
      </c>
      <c r="W81" s="37"/>
      <c r="X81" s="37" t="s">
        <v>31</v>
      </c>
      <c r="Y81" s="37"/>
      <c r="Z81" s="37" t="s">
        <v>31</v>
      </c>
      <c r="AA81" s="37"/>
      <c r="AB81" s="37" t="s">
        <v>31</v>
      </c>
      <c r="AC81" s="37"/>
      <c r="AD81" s="37" t="s">
        <v>31</v>
      </c>
      <c r="AE81" s="37"/>
      <c r="AH81" s="17"/>
      <c r="AI81" s="17" t="b">
        <f t="shared" si="6"/>
        <v>1</v>
      </c>
      <c r="AJ81" s="17" t="b">
        <f t="shared" si="7"/>
        <v>1</v>
      </c>
      <c r="AK81" s="17" t="str">
        <f t="shared" si="8"/>
        <v>EM00008760</v>
      </c>
    </row>
    <row r="82" spans="1:37" ht="15" customHeight="1" x14ac:dyDescent="0.25">
      <c r="A82" s="75" t="str">
        <f>_xlfn.XLOOKUP(C82,[1]Sheet2!$D:$D,[1]Sheet2!$C:$C)</f>
        <v>EM00016472</v>
      </c>
      <c r="B82" s="37">
        <v>1313</v>
      </c>
      <c r="C82" s="51" t="s">
        <v>130</v>
      </c>
      <c r="D82" s="37">
        <v>1</v>
      </c>
      <c r="E82" s="47" t="s">
        <v>205</v>
      </c>
      <c r="F82" s="48">
        <v>46266</v>
      </c>
      <c r="G82" s="48">
        <v>46295</v>
      </c>
      <c r="H82" s="37" t="s">
        <v>701</v>
      </c>
      <c r="I82" s="51" t="s">
        <v>130</v>
      </c>
      <c r="J82" s="49" t="s">
        <v>188</v>
      </c>
      <c r="K82" s="49" t="s">
        <v>134</v>
      </c>
      <c r="L82" s="37"/>
      <c r="M82" s="37"/>
      <c r="N82" s="37" t="s">
        <v>201</v>
      </c>
      <c r="O82" s="37" t="s">
        <v>199</v>
      </c>
      <c r="P82" s="37" t="s">
        <v>31</v>
      </c>
      <c r="Q82" s="37"/>
      <c r="R82" s="37" t="s">
        <v>31</v>
      </c>
      <c r="S82" s="37"/>
      <c r="T82" s="37" t="s">
        <v>204</v>
      </c>
      <c r="U82" s="37" t="s">
        <v>350</v>
      </c>
      <c r="V82" s="50" t="s">
        <v>31</v>
      </c>
      <c r="W82" s="37"/>
      <c r="X82" s="37" t="s">
        <v>31</v>
      </c>
      <c r="Y82" s="37"/>
      <c r="Z82" s="37" t="s">
        <v>31</v>
      </c>
      <c r="AA82" s="37"/>
      <c r="AB82" s="37" t="s">
        <v>31</v>
      </c>
      <c r="AC82" s="37"/>
      <c r="AD82" s="37" t="s">
        <v>31</v>
      </c>
      <c r="AE82" s="37"/>
      <c r="AH82" s="17"/>
      <c r="AI82" s="17" t="b">
        <f t="shared" si="6"/>
        <v>1</v>
      </c>
      <c r="AJ82" s="17" t="b">
        <f t="shared" si="7"/>
        <v>1</v>
      </c>
      <c r="AK82" s="17" t="str">
        <f t="shared" si="8"/>
        <v>EM00008760</v>
      </c>
    </row>
    <row r="83" spans="1:37" ht="15" customHeight="1" x14ac:dyDescent="0.25">
      <c r="A83" s="75" t="str">
        <f>_xlfn.XLOOKUP(C83,[1]Sheet2!$D:$D,[1]Sheet2!$C:$C)</f>
        <v>EM00016382</v>
      </c>
      <c r="B83" s="37">
        <v>1313</v>
      </c>
      <c r="C83" s="51" t="s">
        <v>131</v>
      </c>
      <c r="D83" s="37">
        <v>1</v>
      </c>
      <c r="E83" s="47" t="s">
        <v>205</v>
      </c>
      <c r="F83" s="48">
        <v>46266</v>
      </c>
      <c r="G83" s="48">
        <v>46295</v>
      </c>
      <c r="H83" s="37" t="s">
        <v>683</v>
      </c>
      <c r="I83" s="51" t="s">
        <v>131</v>
      </c>
      <c r="J83" s="49" t="s">
        <v>188</v>
      </c>
      <c r="K83" s="49" t="s">
        <v>134</v>
      </c>
      <c r="L83" s="37"/>
      <c r="M83" s="37"/>
      <c r="N83" s="37" t="s">
        <v>201</v>
      </c>
      <c r="O83" s="37" t="s">
        <v>199</v>
      </c>
      <c r="P83" s="37" t="s">
        <v>31</v>
      </c>
      <c r="Q83" s="37"/>
      <c r="R83" s="37" t="s">
        <v>31</v>
      </c>
      <c r="S83" s="37"/>
      <c r="T83" s="37" t="s">
        <v>204</v>
      </c>
      <c r="U83" s="37" t="s">
        <v>350</v>
      </c>
      <c r="V83" s="50" t="s">
        <v>31</v>
      </c>
      <c r="W83" s="37"/>
      <c r="X83" s="37" t="s">
        <v>31</v>
      </c>
      <c r="Y83" s="37"/>
      <c r="Z83" s="37" t="s">
        <v>31</v>
      </c>
      <c r="AA83" s="37"/>
      <c r="AB83" s="37" t="s">
        <v>31</v>
      </c>
      <c r="AC83" s="37"/>
      <c r="AD83" s="37" t="s">
        <v>31</v>
      </c>
      <c r="AE83" s="37"/>
      <c r="AH83" s="17"/>
      <c r="AI83" s="17" t="b">
        <f t="shared" si="6"/>
        <v>1</v>
      </c>
      <c r="AJ83" s="17" t="b">
        <f t="shared" si="7"/>
        <v>1</v>
      </c>
      <c r="AK83" s="17" t="str">
        <f t="shared" si="8"/>
        <v>EM00008760</v>
      </c>
    </row>
    <row r="84" spans="1:37" ht="15" customHeight="1" x14ac:dyDescent="0.25">
      <c r="A84" s="75" t="str">
        <f>_xlfn.XLOOKUP(C84,[1]Sheet2!$D:$D,[1]Sheet2!$C:$C)</f>
        <v>EM00015980</v>
      </c>
      <c r="B84" s="37">
        <v>1313</v>
      </c>
      <c r="C84" s="51" t="s">
        <v>132</v>
      </c>
      <c r="D84" s="37">
        <v>1</v>
      </c>
      <c r="E84" s="47" t="s">
        <v>205</v>
      </c>
      <c r="F84" s="48">
        <v>46266</v>
      </c>
      <c r="G84" s="48">
        <v>46295</v>
      </c>
      <c r="H84" s="37" t="s">
        <v>299</v>
      </c>
      <c r="I84" s="51" t="s">
        <v>132</v>
      </c>
      <c r="J84" s="49" t="s">
        <v>188</v>
      </c>
      <c r="K84" s="49" t="s">
        <v>134</v>
      </c>
      <c r="L84" s="37"/>
      <c r="M84" s="37"/>
      <c r="N84" s="37" t="s">
        <v>201</v>
      </c>
      <c r="O84" s="37" t="s">
        <v>199</v>
      </c>
      <c r="P84" s="37" t="s">
        <v>31</v>
      </c>
      <c r="Q84" s="37"/>
      <c r="R84" s="37" t="s">
        <v>31</v>
      </c>
      <c r="S84" s="37"/>
      <c r="T84" s="37" t="s">
        <v>204</v>
      </c>
      <c r="U84" s="37" t="s">
        <v>350</v>
      </c>
      <c r="V84" s="50" t="s">
        <v>31</v>
      </c>
      <c r="W84" s="37"/>
      <c r="X84" s="37" t="s">
        <v>31</v>
      </c>
      <c r="Y84" s="37"/>
      <c r="Z84" s="37" t="s">
        <v>31</v>
      </c>
      <c r="AA84" s="37"/>
      <c r="AB84" s="37" t="s">
        <v>31</v>
      </c>
      <c r="AC84" s="37"/>
      <c r="AD84" s="37" t="s">
        <v>31</v>
      </c>
      <c r="AE84" s="37"/>
      <c r="AH84" s="17"/>
      <c r="AI84" s="17" t="b">
        <f t="shared" si="6"/>
        <v>1</v>
      </c>
      <c r="AJ84" s="17" t="b">
        <f t="shared" si="7"/>
        <v>1</v>
      </c>
      <c r="AK84" s="17" t="str">
        <f t="shared" si="8"/>
        <v>EM00008760</v>
      </c>
    </row>
    <row r="85" spans="1:37" ht="15" customHeight="1" x14ac:dyDescent="0.25">
      <c r="A85" s="75" t="str">
        <f>_xlfn.XLOOKUP(C85,[1]Sheet2!$D:$D,[1]Sheet2!$C:$C)</f>
        <v>EM00015762</v>
      </c>
      <c r="B85" s="37">
        <v>1313</v>
      </c>
      <c r="C85" s="51" t="s">
        <v>133</v>
      </c>
      <c r="D85" s="37">
        <v>1</v>
      </c>
      <c r="E85" s="47" t="s">
        <v>205</v>
      </c>
      <c r="F85" s="48">
        <v>46266</v>
      </c>
      <c r="G85" s="48">
        <v>46295</v>
      </c>
      <c r="H85" s="37" t="s">
        <v>189</v>
      </c>
      <c r="I85" s="51" t="s">
        <v>133</v>
      </c>
      <c r="J85" s="49" t="s">
        <v>188</v>
      </c>
      <c r="K85" s="49" t="s">
        <v>134</v>
      </c>
      <c r="L85" s="37"/>
      <c r="M85" s="37"/>
      <c r="N85" s="37" t="s">
        <v>201</v>
      </c>
      <c r="O85" s="37" t="s">
        <v>199</v>
      </c>
      <c r="P85" s="37" t="s">
        <v>31</v>
      </c>
      <c r="Q85" s="37"/>
      <c r="R85" s="37" t="s">
        <v>31</v>
      </c>
      <c r="S85" s="37"/>
      <c r="T85" s="37" t="s">
        <v>204</v>
      </c>
      <c r="U85" s="37" t="s">
        <v>350</v>
      </c>
      <c r="V85" s="50" t="s">
        <v>31</v>
      </c>
      <c r="W85" s="37"/>
      <c r="X85" s="37" t="s">
        <v>31</v>
      </c>
      <c r="Y85" s="37"/>
      <c r="Z85" s="37" t="s">
        <v>31</v>
      </c>
      <c r="AA85" s="37"/>
      <c r="AB85" s="37" t="s">
        <v>31</v>
      </c>
      <c r="AC85" s="37"/>
      <c r="AD85" s="37" t="s">
        <v>31</v>
      </c>
      <c r="AE85" s="37"/>
      <c r="AH85" s="17"/>
      <c r="AI85" s="17" t="b">
        <f t="shared" si="6"/>
        <v>1</v>
      </c>
      <c r="AJ85" s="17" t="b">
        <f t="shared" si="7"/>
        <v>1</v>
      </c>
      <c r="AK85" s="17" t="str">
        <f t="shared" si="8"/>
        <v>EM00008760</v>
      </c>
    </row>
    <row r="86" spans="1:37" ht="15" customHeight="1" x14ac:dyDescent="0.25">
      <c r="A86" s="75" t="str">
        <f>_xlfn.XLOOKUP(C86,[1]Sheet2!$D:$D,[1]Sheet2!$C:$C)</f>
        <v>EM00008760</v>
      </c>
      <c r="B86" s="37">
        <v>1313</v>
      </c>
      <c r="C86" s="49" t="s">
        <v>134</v>
      </c>
      <c r="D86" s="37">
        <v>2</v>
      </c>
      <c r="E86" s="47" t="s">
        <v>205</v>
      </c>
      <c r="F86" s="48">
        <v>46266</v>
      </c>
      <c r="G86" s="48">
        <v>46295</v>
      </c>
      <c r="H86" s="37"/>
      <c r="I86" s="37"/>
      <c r="J86" s="49" t="s">
        <v>188</v>
      </c>
      <c r="K86" s="49" t="s">
        <v>134</v>
      </c>
      <c r="L86" s="37"/>
      <c r="M86" s="37"/>
      <c r="N86" s="37" t="s">
        <v>201</v>
      </c>
      <c r="O86" s="37" t="s">
        <v>199</v>
      </c>
      <c r="P86" s="37" t="s">
        <v>31</v>
      </c>
      <c r="Q86" s="37"/>
      <c r="R86" s="37" t="s">
        <v>31</v>
      </c>
      <c r="S86" s="37"/>
      <c r="T86" s="37" t="s">
        <v>204</v>
      </c>
      <c r="U86" s="37" t="s">
        <v>350</v>
      </c>
      <c r="V86" s="50" t="s">
        <v>31</v>
      </c>
      <c r="W86" s="37"/>
      <c r="X86" s="37" t="s">
        <v>31</v>
      </c>
      <c r="Y86" s="37"/>
      <c r="Z86" s="37" t="s">
        <v>31</v>
      </c>
      <c r="AA86" s="37"/>
      <c r="AB86" s="37" t="s">
        <v>31</v>
      </c>
      <c r="AC86" s="37"/>
      <c r="AD86" s="37" t="s">
        <v>31</v>
      </c>
      <c r="AE86" s="37"/>
      <c r="AH86" s="17"/>
      <c r="AI86" s="17" t="b">
        <f t="shared" si="6"/>
        <v>1</v>
      </c>
      <c r="AJ86" s="17" t="b">
        <f t="shared" si="7"/>
        <v>1</v>
      </c>
      <c r="AK86" s="17" t="str">
        <f t="shared" si="8"/>
        <v>EM00004537</v>
      </c>
    </row>
    <row r="87" spans="1:37" ht="15" customHeight="1" x14ac:dyDescent="0.25">
      <c r="A87" s="75" t="str">
        <f>_xlfn.XLOOKUP(C87,[1]Sheet2!$D:$D,[1]Sheet2!$C:$C)</f>
        <v>EM00016280</v>
      </c>
      <c r="B87" s="37">
        <v>1313</v>
      </c>
      <c r="C87" s="51" t="s">
        <v>135</v>
      </c>
      <c r="D87" s="37">
        <v>1</v>
      </c>
      <c r="E87" s="47" t="s">
        <v>205</v>
      </c>
      <c r="F87" s="48">
        <v>46266</v>
      </c>
      <c r="G87" s="48">
        <v>46295</v>
      </c>
      <c r="H87" s="37" t="s">
        <v>460</v>
      </c>
      <c r="I87" s="51" t="s">
        <v>135</v>
      </c>
      <c r="J87" s="49" t="s">
        <v>31</v>
      </c>
      <c r="K87" s="49" t="s">
        <v>141</v>
      </c>
      <c r="L87" s="37"/>
      <c r="M87" s="37"/>
      <c r="N87" s="37" t="s">
        <v>201</v>
      </c>
      <c r="O87" s="37" t="s">
        <v>199</v>
      </c>
      <c r="P87" s="37" t="s">
        <v>31</v>
      </c>
      <c r="Q87" s="37"/>
      <c r="R87" s="37" t="s">
        <v>31</v>
      </c>
      <c r="S87" s="37"/>
      <c r="T87" s="37" t="s">
        <v>204</v>
      </c>
      <c r="U87" s="37" t="s">
        <v>350</v>
      </c>
      <c r="V87" s="50" t="s">
        <v>31</v>
      </c>
      <c r="W87" s="37"/>
      <c r="X87" s="37" t="s">
        <v>31</v>
      </c>
      <c r="Y87" s="37"/>
      <c r="Z87" s="37" t="s">
        <v>31</v>
      </c>
      <c r="AA87" s="37"/>
      <c r="AB87" s="37" t="s">
        <v>31</v>
      </c>
      <c r="AC87" s="37"/>
      <c r="AD87" s="37" t="s">
        <v>31</v>
      </c>
      <c r="AE87" s="37"/>
      <c r="AH87" s="17"/>
      <c r="AI87" s="17" t="b">
        <f t="shared" si="6"/>
        <v>1</v>
      </c>
      <c r="AJ87" s="17" t="b">
        <f t="shared" si="7"/>
        <v>1</v>
      </c>
      <c r="AK87" s="17" t="str">
        <f t="shared" si="8"/>
        <v>EM00000000</v>
      </c>
    </row>
    <row r="88" spans="1:37" ht="15" customHeight="1" x14ac:dyDescent="0.25">
      <c r="A88" s="75" t="str">
        <f>_xlfn.XLOOKUP(C88,[1]Sheet2!$D:$D,[1]Sheet2!$C:$C)</f>
        <v>EM00015979</v>
      </c>
      <c r="B88" s="37">
        <v>1313</v>
      </c>
      <c r="C88" s="51" t="s">
        <v>136</v>
      </c>
      <c r="D88" s="37">
        <v>1</v>
      </c>
      <c r="E88" s="47" t="s">
        <v>205</v>
      </c>
      <c r="F88" s="48">
        <v>46266</v>
      </c>
      <c r="G88" s="48">
        <v>46295</v>
      </c>
      <c r="H88" s="37" t="s">
        <v>300</v>
      </c>
      <c r="I88" s="51" t="s">
        <v>136</v>
      </c>
      <c r="J88" s="49" t="s">
        <v>31</v>
      </c>
      <c r="K88" s="49" t="s">
        <v>141</v>
      </c>
      <c r="L88" s="37"/>
      <c r="M88" s="37"/>
      <c r="N88" s="37" t="s">
        <v>201</v>
      </c>
      <c r="O88" s="37" t="s">
        <v>199</v>
      </c>
      <c r="P88" s="37" t="s">
        <v>31</v>
      </c>
      <c r="Q88" s="37"/>
      <c r="R88" s="37" t="s">
        <v>31</v>
      </c>
      <c r="S88" s="37"/>
      <c r="T88" s="37" t="s">
        <v>204</v>
      </c>
      <c r="U88" s="37" t="s">
        <v>350</v>
      </c>
      <c r="V88" s="50" t="s">
        <v>31</v>
      </c>
      <c r="W88" s="37"/>
      <c r="X88" s="37" t="s">
        <v>31</v>
      </c>
      <c r="Y88" s="37"/>
      <c r="Z88" s="37" t="s">
        <v>31</v>
      </c>
      <c r="AA88" s="37"/>
      <c r="AB88" s="37" t="s">
        <v>31</v>
      </c>
      <c r="AC88" s="37"/>
      <c r="AD88" s="37" t="s">
        <v>31</v>
      </c>
      <c r="AE88" s="37"/>
      <c r="AH88" s="17"/>
      <c r="AI88" s="17" t="b">
        <f t="shared" si="6"/>
        <v>1</v>
      </c>
      <c r="AJ88" s="17" t="b">
        <f t="shared" si="7"/>
        <v>1</v>
      </c>
      <c r="AK88" s="17" t="str">
        <f t="shared" si="8"/>
        <v>EM00000000</v>
      </c>
    </row>
    <row r="89" spans="1:37" ht="15" customHeight="1" x14ac:dyDescent="0.25">
      <c r="A89" s="75" t="str">
        <f>_xlfn.XLOOKUP(C89,[1]Sheet2!$D:$D,[1]Sheet2!$C:$C)</f>
        <v>EM00015993</v>
      </c>
      <c r="B89" s="37">
        <v>1313</v>
      </c>
      <c r="C89" s="51" t="s">
        <v>137</v>
      </c>
      <c r="D89" s="37">
        <v>1</v>
      </c>
      <c r="E89" s="47" t="s">
        <v>205</v>
      </c>
      <c r="F89" s="48">
        <v>46266</v>
      </c>
      <c r="G89" s="48">
        <v>46295</v>
      </c>
      <c r="H89" s="37" t="s">
        <v>301</v>
      </c>
      <c r="I89" s="51" t="s">
        <v>137</v>
      </c>
      <c r="J89" s="49" t="s">
        <v>31</v>
      </c>
      <c r="K89" s="49" t="s">
        <v>141</v>
      </c>
      <c r="L89" s="37"/>
      <c r="M89" s="37"/>
      <c r="N89" s="37" t="s">
        <v>201</v>
      </c>
      <c r="O89" s="37" t="s">
        <v>199</v>
      </c>
      <c r="P89" s="37" t="s">
        <v>31</v>
      </c>
      <c r="Q89" s="37"/>
      <c r="R89" s="37" t="s">
        <v>31</v>
      </c>
      <c r="S89" s="37"/>
      <c r="T89" s="37" t="s">
        <v>204</v>
      </c>
      <c r="U89" s="37" t="s">
        <v>350</v>
      </c>
      <c r="V89" s="50" t="s">
        <v>31</v>
      </c>
      <c r="W89" s="37"/>
      <c r="X89" s="37" t="s">
        <v>31</v>
      </c>
      <c r="Y89" s="37"/>
      <c r="Z89" s="37" t="s">
        <v>31</v>
      </c>
      <c r="AA89" s="37"/>
      <c r="AB89" s="37" t="s">
        <v>31</v>
      </c>
      <c r="AC89" s="37"/>
      <c r="AD89" s="37" t="s">
        <v>31</v>
      </c>
      <c r="AE89" s="37"/>
      <c r="AH89" s="17"/>
      <c r="AI89" s="17" t="b">
        <f t="shared" si="6"/>
        <v>1</v>
      </c>
      <c r="AJ89" s="17" t="b">
        <f t="shared" si="7"/>
        <v>1</v>
      </c>
      <c r="AK89" s="17" t="str">
        <f t="shared" si="8"/>
        <v>EM00000000</v>
      </c>
    </row>
    <row r="90" spans="1:37" ht="15" customHeight="1" x14ac:dyDescent="0.25">
      <c r="A90" s="75" t="str">
        <f>_xlfn.XLOOKUP(C90,[1]Sheet2!$D:$D,[1]Sheet2!$C:$C)</f>
        <v>EM00016273</v>
      </c>
      <c r="B90" s="37">
        <v>1313</v>
      </c>
      <c r="C90" s="51" t="s">
        <v>138</v>
      </c>
      <c r="D90" s="37">
        <v>1</v>
      </c>
      <c r="E90" s="47" t="s">
        <v>205</v>
      </c>
      <c r="F90" s="48">
        <v>46266</v>
      </c>
      <c r="G90" s="48">
        <v>46295</v>
      </c>
      <c r="H90" s="37" t="s">
        <v>461</v>
      </c>
      <c r="I90" s="51" t="s">
        <v>138</v>
      </c>
      <c r="J90" s="49" t="s">
        <v>31</v>
      </c>
      <c r="K90" s="49" t="s">
        <v>141</v>
      </c>
      <c r="L90" s="37"/>
      <c r="M90" s="37"/>
      <c r="N90" s="37" t="s">
        <v>201</v>
      </c>
      <c r="O90" s="37" t="s">
        <v>199</v>
      </c>
      <c r="P90" s="37" t="s">
        <v>31</v>
      </c>
      <c r="Q90" s="37"/>
      <c r="R90" s="37" t="s">
        <v>31</v>
      </c>
      <c r="S90" s="37"/>
      <c r="T90" s="37" t="s">
        <v>204</v>
      </c>
      <c r="U90" s="37" t="s">
        <v>350</v>
      </c>
      <c r="V90" s="50" t="s">
        <v>31</v>
      </c>
      <c r="W90" s="37"/>
      <c r="X90" s="37" t="s">
        <v>31</v>
      </c>
      <c r="Y90" s="37"/>
      <c r="Z90" s="37" t="s">
        <v>31</v>
      </c>
      <c r="AA90" s="37"/>
      <c r="AB90" s="37" t="s">
        <v>31</v>
      </c>
      <c r="AC90" s="37"/>
      <c r="AD90" s="37" t="s">
        <v>31</v>
      </c>
      <c r="AE90" s="37"/>
      <c r="AH90" s="17"/>
      <c r="AI90" s="17" t="b">
        <f t="shared" si="6"/>
        <v>1</v>
      </c>
      <c r="AJ90" s="17" t="b">
        <f t="shared" si="7"/>
        <v>1</v>
      </c>
      <c r="AK90" s="17" t="str">
        <f t="shared" si="8"/>
        <v>EM00000000</v>
      </c>
    </row>
    <row r="91" spans="1:37" ht="15" customHeight="1" x14ac:dyDescent="0.25">
      <c r="A91" s="75" t="str">
        <f>_xlfn.XLOOKUP(C91,[1]Sheet2!$D:$D,[1]Sheet2!$C:$C)</f>
        <v>EM00015982</v>
      </c>
      <c r="B91" s="37">
        <v>1313</v>
      </c>
      <c r="C91" s="51" t="s">
        <v>139</v>
      </c>
      <c r="D91" s="37">
        <v>1</v>
      </c>
      <c r="E91" s="47" t="s">
        <v>205</v>
      </c>
      <c r="F91" s="48">
        <v>46266</v>
      </c>
      <c r="G91" s="48">
        <v>46295</v>
      </c>
      <c r="H91" s="37" t="s">
        <v>302</v>
      </c>
      <c r="I91" s="51" t="s">
        <v>139</v>
      </c>
      <c r="J91" s="49" t="s">
        <v>31</v>
      </c>
      <c r="K91" s="49" t="s">
        <v>141</v>
      </c>
      <c r="L91" s="37"/>
      <c r="M91" s="37"/>
      <c r="N91" s="37" t="s">
        <v>201</v>
      </c>
      <c r="O91" s="37" t="s">
        <v>199</v>
      </c>
      <c r="P91" s="37" t="s">
        <v>31</v>
      </c>
      <c r="Q91" s="37"/>
      <c r="R91" s="37" t="s">
        <v>31</v>
      </c>
      <c r="S91" s="37"/>
      <c r="T91" s="37" t="s">
        <v>204</v>
      </c>
      <c r="U91" s="37" t="s">
        <v>350</v>
      </c>
      <c r="V91" s="50" t="s">
        <v>31</v>
      </c>
      <c r="W91" s="37"/>
      <c r="X91" s="37" t="s">
        <v>31</v>
      </c>
      <c r="Y91" s="37"/>
      <c r="Z91" s="37" t="s">
        <v>31</v>
      </c>
      <c r="AA91" s="37"/>
      <c r="AB91" s="37" t="s">
        <v>31</v>
      </c>
      <c r="AC91" s="37"/>
      <c r="AD91" s="37" t="s">
        <v>31</v>
      </c>
      <c r="AE91" s="37"/>
      <c r="AH91" s="17"/>
      <c r="AI91" s="17" t="b">
        <f t="shared" si="6"/>
        <v>1</v>
      </c>
      <c r="AJ91" s="17" t="b">
        <f t="shared" si="7"/>
        <v>1</v>
      </c>
      <c r="AK91" s="17" t="str">
        <f t="shared" si="8"/>
        <v>EM00000000</v>
      </c>
    </row>
    <row r="92" spans="1:37" ht="15" customHeight="1" x14ac:dyDescent="0.25">
      <c r="A92" s="75" t="str">
        <f>_xlfn.XLOOKUP(C92,[1]Sheet2!$D:$D,[1]Sheet2!$C:$C)</f>
        <v>EM00016390</v>
      </c>
      <c r="B92" s="37">
        <v>1313</v>
      </c>
      <c r="C92" s="51" t="s">
        <v>140</v>
      </c>
      <c r="D92" s="37">
        <v>1</v>
      </c>
      <c r="E92" s="47" t="s">
        <v>205</v>
      </c>
      <c r="F92" s="48">
        <v>46266</v>
      </c>
      <c r="G92" s="48">
        <v>46295</v>
      </c>
      <c r="H92" s="37" t="s">
        <v>684</v>
      </c>
      <c r="I92" s="51" t="s">
        <v>140</v>
      </c>
      <c r="J92" s="49" t="s">
        <v>31</v>
      </c>
      <c r="K92" s="49" t="s">
        <v>141</v>
      </c>
      <c r="L92" s="37"/>
      <c r="M92" s="37"/>
      <c r="N92" s="37" t="s">
        <v>201</v>
      </c>
      <c r="O92" s="37" t="s">
        <v>199</v>
      </c>
      <c r="P92" s="37" t="s">
        <v>31</v>
      </c>
      <c r="Q92" s="37"/>
      <c r="R92" s="37" t="s">
        <v>31</v>
      </c>
      <c r="S92" s="37"/>
      <c r="T92" s="37" t="s">
        <v>204</v>
      </c>
      <c r="U92" s="37" t="s">
        <v>350</v>
      </c>
      <c r="V92" s="50" t="s">
        <v>31</v>
      </c>
      <c r="W92" s="37"/>
      <c r="X92" s="37" t="s">
        <v>31</v>
      </c>
      <c r="Y92" s="37"/>
      <c r="Z92" s="37" t="s">
        <v>31</v>
      </c>
      <c r="AA92" s="37"/>
      <c r="AB92" s="37" t="s">
        <v>31</v>
      </c>
      <c r="AC92" s="37"/>
      <c r="AD92" s="37" t="s">
        <v>31</v>
      </c>
      <c r="AE92" s="37"/>
      <c r="AH92" s="17"/>
      <c r="AI92" s="17" t="b">
        <f t="shared" si="6"/>
        <v>1</v>
      </c>
      <c r="AJ92" s="17" t="b">
        <f t="shared" si="7"/>
        <v>1</v>
      </c>
      <c r="AK92" s="17" t="str">
        <f t="shared" si="8"/>
        <v>EM00000000</v>
      </c>
    </row>
    <row r="93" spans="1:37" ht="15" customHeight="1" x14ac:dyDescent="0.25">
      <c r="A93" s="75" t="str">
        <f>_xlfn.XLOOKUP(C93,[1]Sheet2!$D:$D,[1]Sheet2!$C:$C)</f>
        <v>EM00000000</v>
      </c>
      <c r="B93" s="37">
        <v>1313</v>
      </c>
      <c r="C93" s="49" t="s">
        <v>141</v>
      </c>
      <c r="D93" s="37">
        <v>2</v>
      </c>
      <c r="E93" s="47" t="s">
        <v>205</v>
      </c>
      <c r="F93" s="48">
        <v>46266</v>
      </c>
      <c r="G93" s="48">
        <v>46295</v>
      </c>
      <c r="H93" s="37"/>
      <c r="I93" s="37"/>
      <c r="J93" s="49" t="s">
        <v>31</v>
      </c>
      <c r="K93" s="49" t="s">
        <v>141</v>
      </c>
      <c r="L93" s="37"/>
      <c r="M93" s="37"/>
      <c r="N93" s="37" t="s">
        <v>201</v>
      </c>
      <c r="O93" s="37" t="s">
        <v>199</v>
      </c>
      <c r="P93" s="37" t="s">
        <v>31</v>
      </c>
      <c r="Q93" s="37"/>
      <c r="R93" s="37" t="s">
        <v>31</v>
      </c>
      <c r="S93" s="37"/>
      <c r="T93" s="37" t="s">
        <v>204</v>
      </c>
      <c r="U93" s="37" t="s">
        <v>350</v>
      </c>
      <c r="V93" s="50" t="s">
        <v>31</v>
      </c>
      <c r="W93" s="37"/>
      <c r="X93" s="37" t="s">
        <v>31</v>
      </c>
      <c r="Y93" s="37"/>
      <c r="Z93" s="37" t="s">
        <v>31</v>
      </c>
      <c r="AA93" s="37"/>
      <c r="AB93" s="37" t="s">
        <v>31</v>
      </c>
      <c r="AC93" s="37"/>
      <c r="AD93" s="37" t="s">
        <v>31</v>
      </c>
      <c r="AE93" s="37"/>
      <c r="AH93" s="17"/>
      <c r="AI93" s="17" t="b">
        <f t="shared" si="6"/>
        <v>1</v>
      </c>
      <c r="AJ93" s="17" t="b">
        <f t="shared" si="7"/>
        <v>1</v>
      </c>
      <c r="AK93" s="17" t="str">
        <f t="shared" si="8"/>
        <v>EM00004537</v>
      </c>
    </row>
    <row r="94" spans="1:37" ht="15" customHeight="1" x14ac:dyDescent="0.25">
      <c r="A94" s="75" t="str">
        <f>_xlfn.XLOOKUP(C94,[1]Sheet2!$D:$D,[1]Sheet2!$C:$C)</f>
        <v>EM00016505</v>
      </c>
      <c r="B94" s="37">
        <v>1311</v>
      </c>
      <c r="C94" s="51" t="s">
        <v>702</v>
      </c>
      <c r="D94" s="37">
        <v>1</v>
      </c>
      <c r="E94" s="47" t="s">
        <v>205</v>
      </c>
      <c r="F94" s="48">
        <v>46266</v>
      </c>
      <c r="G94" s="48">
        <v>46295</v>
      </c>
      <c r="H94" s="37" t="s">
        <v>703</v>
      </c>
      <c r="I94" s="51" t="s">
        <v>702</v>
      </c>
      <c r="J94" s="49" t="s">
        <v>276</v>
      </c>
      <c r="K94" s="51" t="s">
        <v>144</v>
      </c>
      <c r="L94" s="37"/>
      <c r="M94" s="37"/>
      <c r="N94" s="37" t="s">
        <v>201</v>
      </c>
      <c r="O94" s="37" t="s">
        <v>199</v>
      </c>
      <c r="P94" s="37" t="s">
        <v>31</v>
      </c>
      <c r="Q94" s="37"/>
      <c r="R94" s="37" t="s">
        <v>31</v>
      </c>
      <c r="S94" s="37"/>
      <c r="T94" s="37" t="s">
        <v>204</v>
      </c>
      <c r="U94" s="37" t="s">
        <v>350</v>
      </c>
      <c r="V94" s="50" t="s">
        <v>31</v>
      </c>
      <c r="W94" s="37"/>
      <c r="X94" s="37" t="s">
        <v>31</v>
      </c>
      <c r="Y94" s="37"/>
      <c r="Z94" s="37" t="s">
        <v>31</v>
      </c>
      <c r="AA94" s="37"/>
      <c r="AB94" s="37" t="s">
        <v>31</v>
      </c>
      <c r="AC94" s="37"/>
      <c r="AD94" s="37" t="s">
        <v>31</v>
      </c>
      <c r="AE94" s="37"/>
      <c r="AH94" s="17"/>
      <c r="AI94" s="17" t="b">
        <f t="shared" si="6"/>
        <v>1</v>
      </c>
      <c r="AJ94" s="17" t="b">
        <f t="shared" si="7"/>
        <v>1</v>
      </c>
      <c r="AK94" s="17" t="str">
        <f t="shared" si="8"/>
        <v>EM00010882</v>
      </c>
    </row>
    <row r="95" spans="1:37" ht="15" customHeight="1" x14ac:dyDescent="0.25">
      <c r="A95" s="75" t="str">
        <f>_xlfn.XLOOKUP(C95,[1]Sheet2!$D:$D,[1]Sheet2!$C:$C)</f>
        <v>EM00015757</v>
      </c>
      <c r="B95" s="37">
        <v>1310</v>
      </c>
      <c r="C95" s="51" t="s">
        <v>143</v>
      </c>
      <c r="D95" s="37">
        <v>1</v>
      </c>
      <c r="E95" s="47" t="s">
        <v>205</v>
      </c>
      <c r="F95" s="48">
        <v>46266</v>
      </c>
      <c r="G95" s="48">
        <v>46295</v>
      </c>
      <c r="H95" s="37" t="s">
        <v>193</v>
      </c>
      <c r="I95" s="51" t="s">
        <v>143</v>
      </c>
      <c r="J95" s="49" t="s">
        <v>276</v>
      </c>
      <c r="K95" s="51" t="s">
        <v>144</v>
      </c>
      <c r="L95" s="37"/>
      <c r="M95" s="37"/>
      <c r="N95" s="37" t="s">
        <v>201</v>
      </c>
      <c r="O95" s="37" t="s">
        <v>199</v>
      </c>
      <c r="P95" s="37" t="s">
        <v>31</v>
      </c>
      <c r="Q95" s="37"/>
      <c r="R95" s="37" t="s">
        <v>31</v>
      </c>
      <c r="S95" s="37"/>
      <c r="T95" s="37" t="s">
        <v>204</v>
      </c>
      <c r="U95" s="37" t="s">
        <v>350</v>
      </c>
      <c r="V95" s="50" t="s">
        <v>31</v>
      </c>
      <c r="W95" s="37"/>
      <c r="X95" s="37" t="s">
        <v>31</v>
      </c>
      <c r="Y95" s="37"/>
      <c r="Z95" s="37" t="s">
        <v>31</v>
      </c>
      <c r="AA95" s="37"/>
      <c r="AB95" s="37" t="s">
        <v>31</v>
      </c>
      <c r="AC95" s="37"/>
      <c r="AD95" s="37" t="s">
        <v>31</v>
      </c>
      <c r="AE95" s="37"/>
      <c r="AH95" s="17"/>
      <c r="AI95" s="17" t="b">
        <f t="shared" si="6"/>
        <v>1</v>
      </c>
      <c r="AJ95" s="17" t="b">
        <f t="shared" si="7"/>
        <v>1</v>
      </c>
      <c r="AK95" s="17" t="str">
        <f t="shared" si="8"/>
        <v>EM00010882</v>
      </c>
    </row>
    <row r="96" spans="1:37" ht="15" customHeight="1" x14ac:dyDescent="0.25">
      <c r="A96" s="75" t="str">
        <f>_xlfn.XLOOKUP(C96,[1]Sheet2!$D:$D,[1]Sheet2!$C:$C)</f>
        <v>EM00016036</v>
      </c>
      <c r="B96" s="37">
        <v>1310</v>
      </c>
      <c r="C96" s="51" t="s">
        <v>209</v>
      </c>
      <c r="D96" s="37">
        <v>1</v>
      </c>
      <c r="E96" s="47" t="s">
        <v>205</v>
      </c>
      <c r="F96" s="48">
        <v>46266</v>
      </c>
      <c r="G96" s="48">
        <v>46295</v>
      </c>
      <c r="H96" s="37" t="s">
        <v>303</v>
      </c>
      <c r="I96" s="51" t="s">
        <v>209</v>
      </c>
      <c r="J96" s="49" t="s">
        <v>276</v>
      </c>
      <c r="K96" s="51" t="s">
        <v>144</v>
      </c>
      <c r="L96" s="37"/>
      <c r="M96" s="37"/>
      <c r="N96" s="37" t="s">
        <v>201</v>
      </c>
      <c r="O96" s="37" t="s">
        <v>199</v>
      </c>
      <c r="P96" s="37" t="s">
        <v>31</v>
      </c>
      <c r="Q96" s="37"/>
      <c r="R96" s="37" t="s">
        <v>31</v>
      </c>
      <c r="S96" s="37"/>
      <c r="T96" s="37" t="s">
        <v>204</v>
      </c>
      <c r="U96" s="37" t="s">
        <v>350</v>
      </c>
      <c r="V96" s="50" t="s">
        <v>31</v>
      </c>
      <c r="W96" s="37"/>
      <c r="X96" s="37" t="s">
        <v>31</v>
      </c>
      <c r="Y96" s="37"/>
      <c r="Z96" s="37" t="s">
        <v>31</v>
      </c>
      <c r="AA96" s="37"/>
      <c r="AB96" s="37" t="s">
        <v>31</v>
      </c>
      <c r="AC96" s="37"/>
      <c r="AD96" s="37" t="s">
        <v>31</v>
      </c>
      <c r="AE96" s="37"/>
      <c r="AH96" s="17"/>
      <c r="AI96" s="17" t="b">
        <f t="shared" si="6"/>
        <v>1</v>
      </c>
      <c r="AJ96" s="17" t="b">
        <f t="shared" si="7"/>
        <v>1</v>
      </c>
      <c r="AK96" s="17" t="str">
        <f t="shared" si="8"/>
        <v>EM00010882</v>
      </c>
    </row>
    <row r="97" spans="1:37" ht="15" customHeight="1" x14ac:dyDescent="0.25">
      <c r="A97" s="75" t="str">
        <f>_xlfn.XLOOKUP(C97,[1]Sheet2!$D:$D,[1]Sheet2!$C:$C)</f>
        <v>EM00015753</v>
      </c>
      <c r="B97" s="37">
        <v>1310</v>
      </c>
      <c r="C97" s="51" t="s">
        <v>210</v>
      </c>
      <c r="D97" s="37">
        <v>1</v>
      </c>
      <c r="E97" s="47" t="s">
        <v>205</v>
      </c>
      <c r="F97" s="48">
        <v>46266</v>
      </c>
      <c r="G97" s="48">
        <v>46295</v>
      </c>
      <c r="H97" s="37" t="s">
        <v>190</v>
      </c>
      <c r="I97" s="51" t="s">
        <v>210</v>
      </c>
      <c r="J97" s="49" t="s">
        <v>276</v>
      </c>
      <c r="K97" s="51" t="s">
        <v>144</v>
      </c>
      <c r="L97" s="37"/>
      <c r="M97" s="37"/>
      <c r="N97" s="37" t="s">
        <v>201</v>
      </c>
      <c r="O97" s="37" t="s">
        <v>199</v>
      </c>
      <c r="P97" s="37" t="s">
        <v>31</v>
      </c>
      <c r="Q97" s="37"/>
      <c r="R97" s="37" t="s">
        <v>31</v>
      </c>
      <c r="S97" s="37"/>
      <c r="T97" s="37" t="s">
        <v>204</v>
      </c>
      <c r="U97" s="37" t="s">
        <v>350</v>
      </c>
      <c r="V97" s="50" t="s">
        <v>31</v>
      </c>
      <c r="W97" s="37"/>
      <c r="X97" s="37" t="s">
        <v>31</v>
      </c>
      <c r="Y97" s="37"/>
      <c r="Z97" s="37" t="s">
        <v>31</v>
      </c>
      <c r="AA97" s="37"/>
      <c r="AB97" s="37" t="s">
        <v>31</v>
      </c>
      <c r="AC97" s="37"/>
      <c r="AD97" s="37" t="s">
        <v>31</v>
      </c>
      <c r="AE97" s="37"/>
      <c r="AH97" s="17"/>
      <c r="AI97" s="17" t="b">
        <f t="shared" si="6"/>
        <v>1</v>
      </c>
      <c r="AJ97" s="17" t="b">
        <f t="shared" si="7"/>
        <v>1</v>
      </c>
      <c r="AK97" s="17" t="str">
        <f t="shared" si="8"/>
        <v>EM00010882</v>
      </c>
    </row>
    <row r="98" spans="1:37" ht="15" customHeight="1" x14ac:dyDescent="0.25">
      <c r="A98" s="75" t="str">
        <f>_xlfn.XLOOKUP(C98,[1]Sheet2!$D:$D,[1]Sheet2!$C:$C)</f>
        <v>EM00010882</v>
      </c>
      <c r="B98" s="37">
        <v>1310</v>
      </c>
      <c r="C98" s="51" t="s">
        <v>144</v>
      </c>
      <c r="D98" s="37">
        <v>2</v>
      </c>
      <c r="E98" s="47" t="s">
        <v>205</v>
      </c>
      <c r="F98" s="48">
        <v>46266</v>
      </c>
      <c r="G98" s="48">
        <v>46295</v>
      </c>
      <c r="H98" s="37"/>
      <c r="I98" s="37"/>
      <c r="J98" s="49" t="s">
        <v>276</v>
      </c>
      <c r="K98" s="51" t="s">
        <v>144</v>
      </c>
      <c r="L98" s="37"/>
      <c r="M98" s="37"/>
      <c r="N98" s="37" t="s">
        <v>201</v>
      </c>
      <c r="O98" s="37" t="s">
        <v>199</v>
      </c>
      <c r="P98" s="37" t="s">
        <v>31</v>
      </c>
      <c r="Q98" s="37"/>
      <c r="R98" s="37" t="s">
        <v>31</v>
      </c>
      <c r="S98" s="37"/>
      <c r="T98" s="37" t="s">
        <v>204</v>
      </c>
      <c r="U98" s="37" t="s">
        <v>350</v>
      </c>
      <c r="V98" s="50" t="s">
        <v>31</v>
      </c>
      <c r="W98" s="37"/>
      <c r="X98" s="37" t="s">
        <v>31</v>
      </c>
      <c r="Y98" s="37"/>
      <c r="Z98" s="37" t="s">
        <v>31</v>
      </c>
      <c r="AA98" s="37"/>
      <c r="AB98" s="37" t="s">
        <v>31</v>
      </c>
      <c r="AC98" s="37"/>
      <c r="AD98" s="37" t="s">
        <v>31</v>
      </c>
      <c r="AE98" s="37"/>
      <c r="AH98" s="17"/>
      <c r="AI98" s="17" t="b">
        <f t="shared" si="6"/>
        <v>1</v>
      </c>
      <c r="AJ98" s="17" t="b">
        <f t="shared" si="7"/>
        <v>1</v>
      </c>
      <c r="AK98" s="17" t="str">
        <f t="shared" si="8"/>
        <v>EM00004537</v>
      </c>
    </row>
    <row r="99" spans="1:37" ht="15" customHeight="1" x14ac:dyDescent="0.25">
      <c r="A99" s="75" t="str">
        <f>_xlfn.XLOOKUP(C99,[1]Sheet2!$D:$D,[1]Sheet2!$C:$C)</f>
        <v>EM00010882</v>
      </c>
      <c r="B99" s="37">
        <v>1311</v>
      </c>
      <c r="C99" s="51" t="s">
        <v>144</v>
      </c>
      <c r="D99" s="37">
        <v>2</v>
      </c>
      <c r="E99" s="47" t="s">
        <v>205</v>
      </c>
      <c r="F99" s="48">
        <v>46266</v>
      </c>
      <c r="G99" s="48">
        <v>46295</v>
      </c>
      <c r="H99" s="37"/>
      <c r="I99" s="37"/>
      <c r="J99" s="49" t="s">
        <v>276</v>
      </c>
      <c r="K99" s="51" t="s">
        <v>144</v>
      </c>
      <c r="L99" s="37"/>
      <c r="M99" s="37"/>
      <c r="N99" s="37" t="s">
        <v>201</v>
      </c>
      <c r="O99" s="37" t="s">
        <v>199</v>
      </c>
      <c r="P99" s="37" t="s">
        <v>31</v>
      </c>
      <c r="Q99" s="37"/>
      <c r="R99" s="37" t="s">
        <v>31</v>
      </c>
      <c r="S99" s="37"/>
      <c r="T99" s="37" t="s">
        <v>204</v>
      </c>
      <c r="U99" s="37" t="s">
        <v>350</v>
      </c>
      <c r="V99" s="50" t="s">
        <v>31</v>
      </c>
      <c r="W99" s="37"/>
      <c r="X99" s="37" t="s">
        <v>31</v>
      </c>
      <c r="Y99" s="37"/>
      <c r="Z99" s="37" t="s">
        <v>31</v>
      </c>
      <c r="AA99" s="37"/>
      <c r="AB99" s="37" t="s">
        <v>31</v>
      </c>
      <c r="AC99" s="37"/>
      <c r="AD99" s="37" t="s">
        <v>31</v>
      </c>
      <c r="AE99" s="37"/>
      <c r="AH99" s="17"/>
      <c r="AI99" s="17" t="b">
        <f t="shared" si="6"/>
        <v>1</v>
      </c>
      <c r="AJ99" s="17" t="b">
        <f t="shared" si="7"/>
        <v>1</v>
      </c>
      <c r="AK99" s="17" t="str">
        <f t="shared" si="8"/>
        <v>EM00004537</v>
      </c>
    </row>
    <row r="100" spans="1:37" ht="15" customHeight="1" x14ac:dyDescent="0.25">
      <c r="A100" s="75" t="str">
        <f>_xlfn.XLOOKUP(C100,[1]Sheet2!$D:$D,[1]Sheet2!$C:$C)</f>
        <v>EM00015741</v>
      </c>
      <c r="B100" s="37">
        <v>1310</v>
      </c>
      <c r="C100" s="51" t="s">
        <v>145</v>
      </c>
      <c r="D100" s="37">
        <v>1</v>
      </c>
      <c r="E100" s="47" t="s">
        <v>205</v>
      </c>
      <c r="F100" s="48">
        <v>46266</v>
      </c>
      <c r="G100" s="48">
        <v>46295</v>
      </c>
      <c r="H100" s="37" t="s">
        <v>191</v>
      </c>
      <c r="I100" s="51" t="s">
        <v>145</v>
      </c>
      <c r="J100" s="49" t="s">
        <v>31</v>
      </c>
      <c r="K100" s="51" t="s">
        <v>150</v>
      </c>
      <c r="L100" s="37"/>
      <c r="M100" s="37"/>
      <c r="N100" s="37" t="s">
        <v>201</v>
      </c>
      <c r="O100" s="37" t="s">
        <v>199</v>
      </c>
      <c r="P100" s="37" t="s">
        <v>31</v>
      </c>
      <c r="Q100" s="37"/>
      <c r="R100" s="37" t="s">
        <v>31</v>
      </c>
      <c r="S100" s="37"/>
      <c r="T100" s="37" t="s">
        <v>204</v>
      </c>
      <c r="U100" s="37" t="s">
        <v>350</v>
      </c>
      <c r="V100" s="50" t="s">
        <v>31</v>
      </c>
      <c r="W100" s="37"/>
      <c r="X100" s="37" t="s">
        <v>31</v>
      </c>
      <c r="Y100" s="37"/>
      <c r="Z100" s="37" t="s">
        <v>31</v>
      </c>
      <c r="AA100" s="37"/>
      <c r="AB100" s="37" t="s">
        <v>31</v>
      </c>
      <c r="AC100" s="37"/>
      <c r="AD100" s="37" t="s">
        <v>31</v>
      </c>
      <c r="AE100" s="37"/>
      <c r="AH100" s="17"/>
      <c r="AI100" s="17" t="b">
        <f t="shared" si="6"/>
        <v>1</v>
      </c>
      <c r="AJ100" s="17" t="b">
        <f t="shared" si="7"/>
        <v>1</v>
      </c>
      <c r="AK100" s="17" t="str">
        <f t="shared" si="8"/>
        <v>EM00000000</v>
      </c>
    </row>
    <row r="101" spans="1:37" ht="15" customHeight="1" x14ac:dyDescent="0.25">
      <c r="A101" s="75" t="str">
        <f>_xlfn.XLOOKUP(C101,[1]Sheet2!$D:$D,[1]Sheet2!$C:$C)</f>
        <v>EM00016379</v>
      </c>
      <c r="B101" s="37">
        <v>1310</v>
      </c>
      <c r="C101" s="51" t="s">
        <v>146</v>
      </c>
      <c r="D101" s="37">
        <v>1</v>
      </c>
      <c r="E101" s="47" t="s">
        <v>205</v>
      </c>
      <c r="F101" s="48">
        <v>46266</v>
      </c>
      <c r="G101" s="48">
        <v>46295</v>
      </c>
      <c r="H101" s="37" t="s">
        <v>685</v>
      </c>
      <c r="I101" s="51" t="s">
        <v>146</v>
      </c>
      <c r="J101" s="49" t="s">
        <v>31</v>
      </c>
      <c r="K101" s="51" t="s">
        <v>150</v>
      </c>
      <c r="L101" s="37"/>
      <c r="M101" s="37"/>
      <c r="N101" s="37" t="s">
        <v>201</v>
      </c>
      <c r="O101" s="37" t="s">
        <v>199</v>
      </c>
      <c r="P101" s="37" t="s">
        <v>31</v>
      </c>
      <c r="Q101" s="37"/>
      <c r="R101" s="37" t="s">
        <v>31</v>
      </c>
      <c r="S101" s="37"/>
      <c r="T101" s="37" t="s">
        <v>204</v>
      </c>
      <c r="U101" s="37" t="s">
        <v>350</v>
      </c>
      <c r="V101" s="50" t="s">
        <v>31</v>
      </c>
      <c r="W101" s="37"/>
      <c r="X101" s="37" t="s">
        <v>31</v>
      </c>
      <c r="Y101" s="37"/>
      <c r="Z101" s="37" t="s">
        <v>31</v>
      </c>
      <c r="AA101" s="37"/>
      <c r="AB101" s="37" t="s">
        <v>31</v>
      </c>
      <c r="AC101" s="37"/>
      <c r="AD101" s="37" t="s">
        <v>31</v>
      </c>
      <c r="AE101" s="37"/>
      <c r="AH101" s="17"/>
      <c r="AI101" s="17" t="b">
        <f t="shared" si="6"/>
        <v>1</v>
      </c>
      <c r="AJ101" s="17" t="b">
        <f t="shared" si="7"/>
        <v>1</v>
      </c>
      <c r="AK101" s="17" t="str">
        <f t="shared" si="8"/>
        <v>EM00000000</v>
      </c>
    </row>
    <row r="102" spans="1:37" ht="15" customHeight="1" x14ac:dyDescent="0.25">
      <c r="A102" s="75" t="str">
        <f>_xlfn.XLOOKUP(C102,[1]Sheet2!$D:$D,[1]Sheet2!$C:$C)</f>
        <v>EM00015991</v>
      </c>
      <c r="B102" s="37">
        <v>1310</v>
      </c>
      <c r="C102" s="51" t="s">
        <v>147</v>
      </c>
      <c r="D102" s="37">
        <v>1</v>
      </c>
      <c r="E102" s="47" t="s">
        <v>205</v>
      </c>
      <c r="F102" s="48">
        <v>46266</v>
      </c>
      <c r="G102" s="48">
        <v>46295</v>
      </c>
      <c r="H102" s="37" t="s">
        <v>304</v>
      </c>
      <c r="I102" s="51" t="s">
        <v>147</v>
      </c>
      <c r="J102" s="49" t="s">
        <v>31</v>
      </c>
      <c r="K102" s="51" t="s">
        <v>150</v>
      </c>
      <c r="L102" s="37"/>
      <c r="M102" s="37"/>
      <c r="N102" s="37" t="s">
        <v>201</v>
      </c>
      <c r="O102" s="37" t="s">
        <v>199</v>
      </c>
      <c r="P102" s="37" t="s">
        <v>31</v>
      </c>
      <c r="Q102" s="37"/>
      <c r="R102" s="37" t="s">
        <v>31</v>
      </c>
      <c r="S102" s="37"/>
      <c r="T102" s="37" t="s">
        <v>204</v>
      </c>
      <c r="U102" s="37" t="s">
        <v>350</v>
      </c>
      <c r="V102" s="50" t="s">
        <v>31</v>
      </c>
      <c r="W102" s="37"/>
      <c r="X102" s="37" t="s">
        <v>31</v>
      </c>
      <c r="Y102" s="37"/>
      <c r="Z102" s="37" t="s">
        <v>31</v>
      </c>
      <c r="AA102" s="37"/>
      <c r="AB102" s="37" t="s">
        <v>31</v>
      </c>
      <c r="AC102" s="37"/>
      <c r="AD102" s="37" t="s">
        <v>31</v>
      </c>
      <c r="AE102" s="37"/>
      <c r="AH102" s="17"/>
      <c r="AI102" s="17" t="b">
        <f t="shared" si="6"/>
        <v>1</v>
      </c>
      <c r="AJ102" s="17" t="b">
        <f t="shared" si="7"/>
        <v>1</v>
      </c>
      <c r="AK102" s="17" t="str">
        <f t="shared" si="8"/>
        <v>EM00000000</v>
      </c>
    </row>
    <row r="103" spans="1:37" ht="15" customHeight="1" x14ac:dyDescent="0.25">
      <c r="A103" s="75" t="str">
        <f>_xlfn.XLOOKUP(C103,[1]Sheet2!$D:$D,[1]Sheet2!$C:$C)</f>
        <v>EM00016469</v>
      </c>
      <c r="B103" s="37">
        <v>1310</v>
      </c>
      <c r="C103" s="51" t="s">
        <v>148</v>
      </c>
      <c r="D103" s="37">
        <v>1</v>
      </c>
      <c r="E103" s="47" t="s">
        <v>205</v>
      </c>
      <c r="F103" s="48">
        <v>46266</v>
      </c>
      <c r="G103" s="48">
        <v>46295</v>
      </c>
      <c r="H103" s="37" t="s">
        <v>704</v>
      </c>
      <c r="I103" s="51" t="s">
        <v>148</v>
      </c>
      <c r="J103" s="49" t="s">
        <v>31</v>
      </c>
      <c r="K103" s="51" t="s">
        <v>150</v>
      </c>
      <c r="L103" s="37"/>
      <c r="M103" s="37"/>
      <c r="N103" s="37" t="s">
        <v>201</v>
      </c>
      <c r="O103" s="37" t="s">
        <v>199</v>
      </c>
      <c r="P103" s="37" t="s">
        <v>31</v>
      </c>
      <c r="Q103" s="37"/>
      <c r="R103" s="37" t="s">
        <v>31</v>
      </c>
      <c r="S103" s="37"/>
      <c r="T103" s="37" t="s">
        <v>204</v>
      </c>
      <c r="U103" s="37" t="s">
        <v>350</v>
      </c>
      <c r="V103" s="50" t="s">
        <v>31</v>
      </c>
      <c r="W103" s="37"/>
      <c r="X103" s="37" t="s">
        <v>31</v>
      </c>
      <c r="Y103" s="37"/>
      <c r="Z103" s="37" t="s">
        <v>31</v>
      </c>
      <c r="AA103" s="37"/>
      <c r="AB103" s="37" t="s">
        <v>31</v>
      </c>
      <c r="AC103" s="37"/>
      <c r="AD103" s="37" t="s">
        <v>31</v>
      </c>
      <c r="AE103" s="37"/>
      <c r="AH103" s="17"/>
      <c r="AI103" s="17" t="b">
        <f t="shared" si="6"/>
        <v>1</v>
      </c>
      <c r="AJ103" s="17" t="b">
        <f t="shared" si="7"/>
        <v>1</v>
      </c>
      <c r="AK103" s="17" t="str">
        <f t="shared" si="8"/>
        <v>EM00000000</v>
      </c>
    </row>
    <row r="104" spans="1:37" ht="15" customHeight="1" x14ac:dyDescent="0.25">
      <c r="A104" s="75" t="str">
        <f>_xlfn.XLOOKUP(C104,[1]Sheet2!$D:$D,[1]Sheet2!$C:$C)</f>
        <v>EM00016386</v>
      </c>
      <c r="B104" s="37">
        <v>1310</v>
      </c>
      <c r="C104" s="51" t="s">
        <v>149</v>
      </c>
      <c r="D104" s="37">
        <v>1</v>
      </c>
      <c r="E104" s="47" t="s">
        <v>205</v>
      </c>
      <c r="F104" s="48">
        <v>46266</v>
      </c>
      <c r="G104" s="48">
        <v>46295</v>
      </c>
      <c r="H104" s="37" t="s">
        <v>686</v>
      </c>
      <c r="I104" s="51" t="s">
        <v>149</v>
      </c>
      <c r="J104" s="49" t="s">
        <v>31</v>
      </c>
      <c r="K104" s="51" t="s">
        <v>150</v>
      </c>
      <c r="L104" s="37"/>
      <c r="M104" s="37"/>
      <c r="N104" s="37" t="s">
        <v>201</v>
      </c>
      <c r="O104" s="37" t="s">
        <v>199</v>
      </c>
      <c r="P104" s="37" t="s">
        <v>31</v>
      </c>
      <c r="Q104" s="37"/>
      <c r="R104" s="37" t="s">
        <v>31</v>
      </c>
      <c r="S104" s="37"/>
      <c r="T104" s="37" t="s">
        <v>204</v>
      </c>
      <c r="U104" s="37" t="s">
        <v>350</v>
      </c>
      <c r="V104" s="50" t="s">
        <v>31</v>
      </c>
      <c r="W104" s="37"/>
      <c r="X104" s="37" t="s">
        <v>31</v>
      </c>
      <c r="Y104" s="37"/>
      <c r="Z104" s="37" t="s">
        <v>31</v>
      </c>
      <c r="AA104" s="37"/>
      <c r="AB104" s="37" t="s">
        <v>31</v>
      </c>
      <c r="AC104" s="37"/>
      <c r="AD104" s="37" t="s">
        <v>31</v>
      </c>
      <c r="AE104" s="37"/>
      <c r="AH104" s="17"/>
      <c r="AI104" s="17" t="b">
        <f t="shared" si="6"/>
        <v>1</v>
      </c>
      <c r="AJ104" s="17" t="b">
        <f t="shared" si="7"/>
        <v>1</v>
      </c>
      <c r="AK104" s="17" t="str">
        <f t="shared" si="8"/>
        <v>EM00000000</v>
      </c>
    </row>
    <row r="105" spans="1:37" ht="15" customHeight="1" x14ac:dyDescent="0.25">
      <c r="A105" s="75" t="str">
        <f>_xlfn.XLOOKUP(C105,[1]Sheet2!$D:$D,[1]Sheet2!$C:$C)</f>
        <v>EM00016467</v>
      </c>
      <c r="B105" s="37">
        <v>1310</v>
      </c>
      <c r="C105" s="51" t="s">
        <v>150</v>
      </c>
      <c r="D105" s="37">
        <v>2</v>
      </c>
      <c r="E105" s="47" t="s">
        <v>205</v>
      </c>
      <c r="F105" s="48">
        <v>46266</v>
      </c>
      <c r="G105" s="48">
        <v>46295</v>
      </c>
      <c r="H105" s="37"/>
      <c r="I105" s="37"/>
      <c r="J105" s="37" t="s">
        <v>936</v>
      </c>
      <c r="K105" s="51" t="s">
        <v>150</v>
      </c>
      <c r="L105" s="37"/>
      <c r="M105" s="37"/>
      <c r="N105" s="37" t="s">
        <v>201</v>
      </c>
      <c r="O105" s="37" t="s">
        <v>199</v>
      </c>
      <c r="P105" s="37" t="s">
        <v>31</v>
      </c>
      <c r="Q105" s="37"/>
      <c r="R105" s="37" t="s">
        <v>31</v>
      </c>
      <c r="S105" s="37"/>
      <c r="T105" s="37" t="s">
        <v>204</v>
      </c>
      <c r="U105" s="37" t="s">
        <v>350</v>
      </c>
      <c r="V105" s="50" t="s">
        <v>31</v>
      </c>
      <c r="W105" s="37"/>
      <c r="X105" s="37" t="s">
        <v>31</v>
      </c>
      <c r="Y105" s="37"/>
      <c r="Z105" s="37" t="s">
        <v>31</v>
      </c>
      <c r="AA105" s="37"/>
      <c r="AB105" s="37" t="s">
        <v>31</v>
      </c>
      <c r="AC105" s="37"/>
      <c r="AD105" s="37" t="s">
        <v>31</v>
      </c>
      <c r="AE105" s="37"/>
      <c r="AH105" s="17"/>
      <c r="AI105" s="17" t="b">
        <f t="shared" si="6"/>
        <v>1</v>
      </c>
      <c r="AJ105" s="17" t="b">
        <f t="shared" si="7"/>
        <v>1</v>
      </c>
      <c r="AK105" s="17" t="str">
        <f t="shared" si="8"/>
        <v>EM00004537</v>
      </c>
    </row>
    <row r="106" spans="1:37" ht="15" customHeight="1" x14ac:dyDescent="0.25">
      <c r="A106" s="75" t="str">
        <f>_xlfn.XLOOKUP(C106,[1]Sheet2!$D:$D,[1]Sheet2!$C:$C)</f>
        <v>EM00015584</v>
      </c>
      <c r="B106" s="37">
        <v>1310</v>
      </c>
      <c r="C106" s="51" t="s">
        <v>151</v>
      </c>
      <c r="D106" s="37">
        <v>1</v>
      </c>
      <c r="E106" s="47" t="s">
        <v>205</v>
      </c>
      <c r="F106" s="48">
        <v>46266</v>
      </c>
      <c r="G106" s="48">
        <v>46295</v>
      </c>
      <c r="H106" s="37" t="s">
        <v>192</v>
      </c>
      <c r="I106" s="51" t="s">
        <v>151</v>
      </c>
      <c r="J106" s="49" t="s">
        <v>195</v>
      </c>
      <c r="K106" s="51" t="s">
        <v>155</v>
      </c>
      <c r="L106" s="37"/>
      <c r="M106" s="37"/>
      <c r="N106" s="37" t="s">
        <v>201</v>
      </c>
      <c r="O106" s="37" t="s">
        <v>199</v>
      </c>
      <c r="P106" s="37" t="s">
        <v>31</v>
      </c>
      <c r="Q106" s="37"/>
      <c r="R106" s="37" t="s">
        <v>31</v>
      </c>
      <c r="S106" s="37"/>
      <c r="T106" s="37" t="s">
        <v>204</v>
      </c>
      <c r="U106" s="37" t="s">
        <v>350</v>
      </c>
      <c r="V106" s="50" t="s">
        <v>31</v>
      </c>
      <c r="W106" s="37"/>
      <c r="X106" s="37" t="s">
        <v>31</v>
      </c>
      <c r="Y106" s="37"/>
      <c r="Z106" s="37" t="s">
        <v>31</v>
      </c>
      <c r="AA106" s="37"/>
      <c r="AB106" s="37" t="s">
        <v>31</v>
      </c>
      <c r="AC106" s="37"/>
      <c r="AD106" s="37" t="s">
        <v>31</v>
      </c>
      <c r="AE106" s="37"/>
      <c r="AH106" s="17"/>
      <c r="AI106" s="17" t="b">
        <f t="shared" si="6"/>
        <v>1</v>
      </c>
      <c r="AJ106" s="17" t="b">
        <f t="shared" si="7"/>
        <v>1</v>
      </c>
      <c r="AK106" s="17" t="str">
        <f t="shared" si="8"/>
        <v>EM00010352</v>
      </c>
    </row>
    <row r="107" spans="1:37" ht="15" customHeight="1" x14ac:dyDescent="0.25">
      <c r="A107" s="75" t="str">
        <f>_xlfn.XLOOKUP(C107,[1]Sheet2!$D:$D,[1]Sheet2!$C:$C)</f>
        <v>EM00016384</v>
      </c>
      <c r="B107" s="37">
        <v>1310</v>
      </c>
      <c r="C107" s="51" t="s">
        <v>152</v>
      </c>
      <c r="D107" s="37">
        <v>1</v>
      </c>
      <c r="E107" s="47" t="s">
        <v>205</v>
      </c>
      <c r="F107" s="48">
        <v>46266</v>
      </c>
      <c r="G107" s="48">
        <v>46295</v>
      </c>
      <c r="H107" s="37" t="s">
        <v>687</v>
      </c>
      <c r="I107" s="51" t="s">
        <v>152</v>
      </c>
      <c r="J107" s="49" t="s">
        <v>195</v>
      </c>
      <c r="K107" s="51" t="s">
        <v>155</v>
      </c>
      <c r="L107" s="37"/>
      <c r="M107" s="37"/>
      <c r="N107" s="37" t="s">
        <v>201</v>
      </c>
      <c r="O107" s="37" t="s">
        <v>199</v>
      </c>
      <c r="P107" s="37" t="s">
        <v>31</v>
      </c>
      <c r="Q107" s="37"/>
      <c r="R107" s="37" t="s">
        <v>31</v>
      </c>
      <c r="S107" s="37"/>
      <c r="T107" s="37" t="s">
        <v>204</v>
      </c>
      <c r="U107" s="37" t="s">
        <v>350</v>
      </c>
      <c r="V107" s="50" t="s">
        <v>31</v>
      </c>
      <c r="W107" s="37"/>
      <c r="X107" s="37" t="s">
        <v>31</v>
      </c>
      <c r="Y107" s="37"/>
      <c r="Z107" s="37" t="s">
        <v>31</v>
      </c>
      <c r="AA107" s="37"/>
      <c r="AB107" s="37" t="s">
        <v>31</v>
      </c>
      <c r="AC107" s="37"/>
      <c r="AD107" s="37" t="s">
        <v>31</v>
      </c>
      <c r="AE107" s="37"/>
      <c r="AH107" s="17"/>
      <c r="AI107" s="17" t="b">
        <f t="shared" si="6"/>
        <v>1</v>
      </c>
      <c r="AJ107" s="17" t="b">
        <f t="shared" si="7"/>
        <v>1</v>
      </c>
      <c r="AK107" s="17" t="str">
        <f t="shared" si="8"/>
        <v>EM00010352</v>
      </c>
    </row>
    <row r="108" spans="1:37" ht="15" customHeight="1" x14ac:dyDescent="0.25">
      <c r="A108" s="75" t="str">
        <f>_xlfn.XLOOKUP(C108,[1]Sheet2!$D:$D,[1]Sheet2!$C:$C)</f>
        <v>EM00016032</v>
      </c>
      <c r="B108" s="37">
        <v>1310</v>
      </c>
      <c r="C108" s="51" t="s">
        <v>153</v>
      </c>
      <c r="D108" s="37">
        <v>1</v>
      </c>
      <c r="E108" s="47" t="s">
        <v>205</v>
      </c>
      <c r="F108" s="48">
        <v>46266</v>
      </c>
      <c r="G108" s="48">
        <v>46295</v>
      </c>
      <c r="H108" s="37" t="s">
        <v>305</v>
      </c>
      <c r="I108" s="51" t="s">
        <v>153</v>
      </c>
      <c r="J108" s="49" t="s">
        <v>195</v>
      </c>
      <c r="K108" s="51" t="s">
        <v>155</v>
      </c>
      <c r="L108" s="37"/>
      <c r="M108" s="37"/>
      <c r="N108" s="37" t="s">
        <v>201</v>
      </c>
      <c r="O108" s="37" t="s">
        <v>199</v>
      </c>
      <c r="P108" s="37" t="s">
        <v>31</v>
      </c>
      <c r="Q108" s="37"/>
      <c r="R108" s="37" t="s">
        <v>31</v>
      </c>
      <c r="S108" s="37"/>
      <c r="T108" s="37" t="s">
        <v>204</v>
      </c>
      <c r="U108" s="37" t="s">
        <v>350</v>
      </c>
      <c r="V108" s="50" t="s">
        <v>31</v>
      </c>
      <c r="W108" s="37"/>
      <c r="X108" s="37" t="s">
        <v>31</v>
      </c>
      <c r="Y108" s="37"/>
      <c r="Z108" s="37" t="s">
        <v>31</v>
      </c>
      <c r="AA108" s="37"/>
      <c r="AB108" s="37" t="s">
        <v>31</v>
      </c>
      <c r="AC108" s="37"/>
      <c r="AD108" s="37" t="s">
        <v>31</v>
      </c>
      <c r="AE108" s="37"/>
      <c r="AH108" s="17"/>
      <c r="AI108" s="17" t="b">
        <f t="shared" si="6"/>
        <v>1</v>
      </c>
      <c r="AJ108" s="17" t="b">
        <f t="shared" si="7"/>
        <v>1</v>
      </c>
      <c r="AK108" s="17" t="str">
        <f t="shared" si="8"/>
        <v>EM00010352</v>
      </c>
    </row>
    <row r="109" spans="1:37" ht="15" customHeight="1" x14ac:dyDescent="0.25">
      <c r="A109" s="75" t="str">
        <f>_xlfn.XLOOKUP(C109,[1]Sheet2!$D:$D,[1]Sheet2!$C:$C)</f>
        <v>EM00015748</v>
      </c>
      <c r="B109" s="37">
        <v>1310</v>
      </c>
      <c r="C109" s="51" t="s">
        <v>154</v>
      </c>
      <c r="D109" s="37">
        <v>1</v>
      </c>
      <c r="E109" s="47" t="s">
        <v>205</v>
      </c>
      <c r="F109" s="48">
        <v>46266</v>
      </c>
      <c r="G109" s="48">
        <v>46295</v>
      </c>
      <c r="H109" s="37" t="s">
        <v>194</v>
      </c>
      <c r="I109" s="51" t="s">
        <v>154</v>
      </c>
      <c r="J109" s="49" t="s">
        <v>195</v>
      </c>
      <c r="K109" s="51" t="s">
        <v>155</v>
      </c>
      <c r="L109" s="37"/>
      <c r="M109" s="37"/>
      <c r="N109" s="37" t="s">
        <v>201</v>
      </c>
      <c r="O109" s="37" t="s">
        <v>199</v>
      </c>
      <c r="P109" s="37" t="s">
        <v>31</v>
      </c>
      <c r="Q109" s="37"/>
      <c r="R109" s="37" t="s">
        <v>31</v>
      </c>
      <c r="S109" s="37"/>
      <c r="T109" s="37" t="s">
        <v>204</v>
      </c>
      <c r="U109" s="37" t="s">
        <v>350</v>
      </c>
      <c r="V109" s="50" t="s">
        <v>31</v>
      </c>
      <c r="W109" s="37"/>
      <c r="X109" s="37" t="s">
        <v>31</v>
      </c>
      <c r="Y109" s="37"/>
      <c r="Z109" s="37" t="s">
        <v>31</v>
      </c>
      <c r="AA109" s="37"/>
      <c r="AB109" s="37" t="s">
        <v>31</v>
      </c>
      <c r="AC109" s="37"/>
      <c r="AD109" s="37" t="s">
        <v>31</v>
      </c>
      <c r="AE109" s="37"/>
      <c r="AH109" s="17"/>
      <c r="AI109" s="17" t="b">
        <f t="shared" si="6"/>
        <v>1</v>
      </c>
      <c r="AJ109" s="17" t="b">
        <f t="shared" si="7"/>
        <v>1</v>
      </c>
      <c r="AK109" s="17" t="str">
        <f t="shared" si="8"/>
        <v>EM00010352</v>
      </c>
    </row>
    <row r="110" spans="1:37" ht="15" customHeight="1" x14ac:dyDescent="0.25">
      <c r="A110" s="75" t="str">
        <f>_xlfn.XLOOKUP(C110,[1]Sheet2!$D:$D,[1]Sheet2!$C:$C)</f>
        <v>EM00000000</v>
      </c>
      <c r="B110" s="37">
        <v>1310</v>
      </c>
      <c r="C110" s="51" t="s">
        <v>705</v>
      </c>
      <c r="D110" s="37">
        <v>1</v>
      </c>
      <c r="E110" s="47" t="s">
        <v>205</v>
      </c>
      <c r="F110" s="48">
        <v>46266</v>
      </c>
      <c r="G110" s="48">
        <v>46295</v>
      </c>
      <c r="H110" s="37" t="s">
        <v>31</v>
      </c>
      <c r="I110" s="51" t="s">
        <v>705</v>
      </c>
      <c r="J110" s="49" t="s">
        <v>195</v>
      </c>
      <c r="K110" s="51" t="s">
        <v>155</v>
      </c>
      <c r="L110" s="37"/>
      <c r="M110" s="37"/>
      <c r="N110" s="37" t="s">
        <v>201</v>
      </c>
      <c r="O110" s="37" t="s">
        <v>199</v>
      </c>
      <c r="P110" s="37" t="s">
        <v>31</v>
      </c>
      <c r="Q110" s="37"/>
      <c r="R110" s="37" t="s">
        <v>31</v>
      </c>
      <c r="S110" s="37"/>
      <c r="T110" s="37" t="s">
        <v>204</v>
      </c>
      <c r="U110" s="37" t="s">
        <v>350</v>
      </c>
      <c r="V110" s="50" t="s">
        <v>31</v>
      </c>
      <c r="W110" s="37"/>
      <c r="X110" s="37" t="s">
        <v>31</v>
      </c>
      <c r="Y110" s="37"/>
      <c r="Z110" s="37"/>
      <c r="AA110" s="37"/>
      <c r="AB110" s="37"/>
      <c r="AC110" s="37"/>
      <c r="AD110" s="37"/>
      <c r="AE110" s="37"/>
      <c r="AH110" s="17"/>
      <c r="AI110" s="17" t="b">
        <f t="shared" si="6"/>
        <v>1</v>
      </c>
      <c r="AJ110" s="17" t="b">
        <f t="shared" si="7"/>
        <v>1</v>
      </c>
      <c r="AK110" s="17" t="str">
        <f t="shared" si="8"/>
        <v>EM00010352</v>
      </c>
    </row>
    <row r="111" spans="1:37" ht="15" customHeight="1" x14ac:dyDescent="0.25">
      <c r="A111" s="75" t="str">
        <f>_xlfn.XLOOKUP(C111,[1]Sheet2!$D:$D,[1]Sheet2!$C:$C)</f>
        <v>EM00010352</v>
      </c>
      <c r="B111" s="37">
        <v>1310</v>
      </c>
      <c r="C111" s="51" t="s">
        <v>155</v>
      </c>
      <c r="D111" s="37">
        <v>2</v>
      </c>
      <c r="E111" s="47" t="s">
        <v>205</v>
      </c>
      <c r="F111" s="48">
        <v>46266</v>
      </c>
      <c r="G111" s="48">
        <v>46295</v>
      </c>
      <c r="H111" s="37"/>
      <c r="I111" s="37"/>
      <c r="J111" s="49" t="s">
        <v>195</v>
      </c>
      <c r="K111" s="51" t="s">
        <v>155</v>
      </c>
      <c r="L111" s="37"/>
      <c r="M111" s="37"/>
      <c r="N111" s="37" t="s">
        <v>201</v>
      </c>
      <c r="O111" s="37" t="s">
        <v>199</v>
      </c>
      <c r="P111" s="37" t="s">
        <v>31</v>
      </c>
      <c r="Q111" s="37"/>
      <c r="R111" s="37" t="s">
        <v>31</v>
      </c>
      <c r="S111" s="37"/>
      <c r="T111" s="37" t="s">
        <v>204</v>
      </c>
      <c r="U111" s="37" t="s">
        <v>350</v>
      </c>
      <c r="V111" s="50" t="s">
        <v>31</v>
      </c>
      <c r="W111" s="37"/>
      <c r="X111" s="37" t="s">
        <v>31</v>
      </c>
      <c r="Y111" s="37"/>
      <c r="Z111" s="37" t="s">
        <v>31</v>
      </c>
      <c r="AA111" s="37"/>
      <c r="AB111" s="37" t="s">
        <v>31</v>
      </c>
      <c r="AC111" s="37"/>
      <c r="AD111" s="37" t="s">
        <v>31</v>
      </c>
      <c r="AE111" s="37"/>
      <c r="AH111" s="17"/>
      <c r="AI111" s="17" t="b">
        <f t="shared" si="6"/>
        <v>1</v>
      </c>
      <c r="AJ111" s="17" t="b">
        <f t="shared" si="7"/>
        <v>1</v>
      </c>
      <c r="AK111" s="17" t="str">
        <f t="shared" si="8"/>
        <v>EM00004537</v>
      </c>
    </row>
    <row r="112" spans="1:37" ht="15" customHeight="1" x14ac:dyDescent="0.25">
      <c r="A112" s="37" t="s">
        <v>201</v>
      </c>
      <c r="B112" s="37">
        <v>1310</v>
      </c>
      <c r="C112" s="37" t="s">
        <v>199</v>
      </c>
      <c r="D112" s="37">
        <v>4</v>
      </c>
      <c r="E112" s="47" t="s">
        <v>205</v>
      </c>
      <c r="F112" s="48">
        <v>46266</v>
      </c>
      <c r="G112" s="48">
        <v>46295</v>
      </c>
      <c r="H112" s="37"/>
      <c r="I112" s="37"/>
      <c r="J112" s="51"/>
      <c r="K112" s="51"/>
      <c r="L112" s="37"/>
      <c r="M112" s="37"/>
      <c r="N112" s="37" t="s">
        <v>201</v>
      </c>
      <c r="O112" s="37" t="s">
        <v>199</v>
      </c>
      <c r="P112" s="37" t="s">
        <v>31</v>
      </c>
      <c r="Q112" s="37"/>
      <c r="R112" s="37" t="s">
        <v>31</v>
      </c>
      <c r="S112" s="37"/>
      <c r="T112" s="37" t="s">
        <v>204</v>
      </c>
      <c r="U112" s="37" t="s">
        <v>350</v>
      </c>
      <c r="V112" s="50" t="s">
        <v>31</v>
      </c>
      <c r="W112" s="37"/>
      <c r="X112" s="37" t="s">
        <v>31</v>
      </c>
      <c r="Y112" s="37"/>
      <c r="Z112" s="37" t="s">
        <v>31</v>
      </c>
      <c r="AA112" s="37"/>
      <c r="AB112" s="37" t="s">
        <v>31</v>
      </c>
      <c r="AC112" s="37"/>
      <c r="AD112" s="37" t="s">
        <v>31</v>
      </c>
      <c r="AE112" s="37"/>
      <c r="AH112" s="17"/>
      <c r="AI112" s="17" t="b">
        <f t="shared" si="6"/>
        <v>1</v>
      </c>
      <c r="AJ112" s="17" t="b">
        <f t="shared" si="7"/>
        <v>1</v>
      </c>
      <c r="AK112" s="17" t="str">
        <f t="shared" si="8"/>
        <v>EM00000000</v>
      </c>
    </row>
    <row r="113" spans="1:37" ht="15" customHeight="1" x14ac:dyDescent="0.25">
      <c r="A113" s="37" t="s">
        <v>201</v>
      </c>
      <c r="B113" s="37">
        <v>1313</v>
      </c>
      <c r="C113" s="37" t="s">
        <v>199</v>
      </c>
      <c r="D113" s="37">
        <v>4</v>
      </c>
      <c r="E113" s="47" t="s">
        <v>205</v>
      </c>
      <c r="F113" s="48">
        <v>46266</v>
      </c>
      <c r="G113" s="48">
        <v>46295</v>
      </c>
      <c r="H113" s="37"/>
      <c r="I113" s="37"/>
      <c r="J113" s="51"/>
      <c r="K113" s="51"/>
      <c r="L113" s="37"/>
      <c r="M113" s="37"/>
      <c r="N113" s="37" t="s">
        <v>201</v>
      </c>
      <c r="O113" s="37" t="s">
        <v>199</v>
      </c>
      <c r="P113" s="37" t="s">
        <v>31</v>
      </c>
      <c r="Q113" s="37"/>
      <c r="R113" s="37" t="s">
        <v>31</v>
      </c>
      <c r="S113" s="37"/>
      <c r="T113" s="37" t="s">
        <v>204</v>
      </c>
      <c r="U113" s="37" t="s">
        <v>350</v>
      </c>
      <c r="V113" s="50" t="s">
        <v>31</v>
      </c>
      <c r="W113" s="37"/>
      <c r="X113" s="37" t="s">
        <v>31</v>
      </c>
      <c r="Y113" s="37"/>
      <c r="Z113" s="37" t="s">
        <v>31</v>
      </c>
      <c r="AA113" s="37"/>
      <c r="AB113" s="37" t="s">
        <v>31</v>
      </c>
      <c r="AC113" s="37"/>
      <c r="AD113" s="37" t="s">
        <v>31</v>
      </c>
      <c r="AE113" s="37"/>
      <c r="AH113" s="17"/>
      <c r="AI113" s="17" t="b">
        <f t="shared" si="6"/>
        <v>1</v>
      </c>
      <c r="AJ113" s="17" t="b">
        <f t="shared" si="7"/>
        <v>1</v>
      </c>
      <c r="AK113" s="17" t="str">
        <f t="shared" si="8"/>
        <v>EM00000000</v>
      </c>
    </row>
    <row r="114" spans="1:37" ht="15" customHeight="1" x14ac:dyDescent="0.25">
      <c r="A114" s="37" t="s">
        <v>201</v>
      </c>
      <c r="B114" s="37">
        <v>1336</v>
      </c>
      <c r="C114" s="37" t="s">
        <v>199</v>
      </c>
      <c r="D114" s="37">
        <v>4</v>
      </c>
      <c r="E114" s="47" t="s">
        <v>205</v>
      </c>
      <c r="F114" s="48">
        <v>46266</v>
      </c>
      <c r="G114" s="48">
        <v>46295</v>
      </c>
      <c r="H114" s="37"/>
      <c r="I114" s="37"/>
      <c r="J114" s="51"/>
      <c r="K114" s="51"/>
      <c r="L114" s="37"/>
      <c r="M114" s="37"/>
      <c r="N114" s="37" t="s">
        <v>201</v>
      </c>
      <c r="O114" s="37" t="s">
        <v>199</v>
      </c>
      <c r="P114" s="37" t="s">
        <v>31</v>
      </c>
      <c r="Q114" s="37"/>
      <c r="R114" s="37" t="s">
        <v>31</v>
      </c>
      <c r="S114" s="37"/>
      <c r="T114" s="37" t="s">
        <v>204</v>
      </c>
      <c r="U114" s="37" t="s">
        <v>350</v>
      </c>
      <c r="V114" s="50" t="s">
        <v>31</v>
      </c>
      <c r="W114" s="37"/>
      <c r="X114" s="37" t="s">
        <v>31</v>
      </c>
      <c r="Y114" s="37"/>
      <c r="Z114" s="37" t="s">
        <v>31</v>
      </c>
      <c r="AA114" s="37"/>
      <c r="AB114" s="37" t="s">
        <v>31</v>
      </c>
      <c r="AC114" s="37"/>
      <c r="AD114" s="37" t="s">
        <v>31</v>
      </c>
      <c r="AE114" s="37"/>
      <c r="AH114" s="17"/>
      <c r="AI114" s="17" t="b">
        <f t="shared" si="6"/>
        <v>1</v>
      </c>
      <c r="AJ114" s="17" t="b">
        <f t="shared" si="7"/>
        <v>1</v>
      </c>
      <c r="AK114" s="17" t="str">
        <f t="shared" si="8"/>
        <v>EM00000000</v>
      </c>
    </row>
    <row r="115" spans="1:37" ht="15" customHeight="1" x14ac:dyDescent="0.25">
      <c r="A115" s="37" t="s">
        <v>201</v>
      </c>
      <c r="B115" s="37">
        <v>1311</v>
      </c>
      <c r="C115" s="37" t="s">
        <v>199</v>
      </c>
      <c r="D115" s="37">
        <v>4</v>
      </c>
      <c r="E115" s="47" t="s">
        <v>205</v>
      </c>
      <c r="F115" s="48">
        <v>46266</v>
      </c>
      <c r="G115" s="48">
        <v>46295</v>
      </c>
      <c r="H115" s="37"/>
      <c r="I115" s="37"/>
      <c r="J115" s="51"/>
      <c r="K115" s="51"/>
      <c r="L115" s="37"/>
      <c r="M115" s="37"/>
      <c r="N115" s="37" t="s">
        <v>201</v>
      </c>
      <c r="O115" s="37" t="s">
        <v>199</v>
      </c>
      <c r="P115" s="37" t="s">
        <v>31</v>
      </c>
      <c r="Q115" s="37"/>
      <c r="R115" s="37" t="s">
        <v>31</v>
      </c>
      <c r="S115" s="37"/>
      <c r="T115" s="37" t="s">
        <v>204</v>
      </c>
      <c r="U115" s="37" t="s">
        <v>350</v>
      </c>
      <c r="V115" s="50" t="s">
        <v>31</v>
      </c>
      <c r="W115" s="37"/>
      <c r="X115" s="37" t="s">
        <v>31</v>
      </c>
      <c r="Y115" s="37"/>
      <c r="Z115" s="37" t="s">
        <v>31</v>
      </c>
      <c r="AA115" s="37"/>
      <c r="AB115" s="37" t="s">
        <v>31</v>
      </c>
      <c r="AC115" s="37"/>
      <c r="AD115" s="37" t="s">
        <v>31</v>
      </c>
      <c r="AE115" s="37"/>
      <c r="AH115" s="17"/>
      <c r="AI115" s="17" t="b">
        <f t="shared" si="6"/>
        <v>1</v>
      </c>
      <c r="AJ115" s="17" t="b">
        <f t="shared" si="7"/>
        <v>1</v>
      </c>
      <c r="AK115" s="17" t="str">
        <f t="shared" si="8"/>
        <v>EM00000000</v>
      </c>
    </row>
    <row r="116" spans="1:37" ht="15" customHeight="1" x14ac:dyDescent="0.25">
      <c r="A116" s="75" t="str">
        <f>_xlfn.XLOOKUP(C116,[1]Sheet2!$D:$D,[1]Sheet2!$C:$C)</f>
        <v>EM00015624</v>
      </c>
      <c r="B116" s="37">
        <v>1326</v>
      </c>
      <c r="C116" s="51" t="s">
        <v>211</v>
      </c>
      <c r="D116" s="37">
        <v>1</v>
      </c>
      <c r="E116" s="47" t="s">
        <v>205</v>
      </c>
      <c r="F116" s="48">
        <v>46266</v>
      </c>
      <c r="G116" s="48">
        <v>46295</v>
      </c>
      <c r="H116" s="37" t="s">
        <v>253</v>
      </c>
      <c r="I116" s="51" t="s">
        <v>211</v>
      </c>
      <c r="J116" s="51" t="s">
        <v>255</v>
      </c>
      <c r="K116" s="51" t="s">
        <v>217</v>
      </c>
      <c r="L116" s="37"/>
      <c r="M116" s="37"/>
      <c r="N116" s="37" t="s">
        <v>268</v>
      </c>
      <c r="O116" s="37" t="s">
        <v>275</v>
      </c>
      <c r="P116" s="37" t="s">
        <v>31</v>
      </c>
      <c r="Q116" s="37"/>
      <c r="R116" s="37" t="s">
        <v>31</v>
      </c>
      <c r="S116" s="37"/>
      <c r="T116" s="37" t="s">
        <v>204</v>
      </c>
      <c r="U116" s="37" t="s">
        <v>350</v>
      </c>
      <c r="V116" s="50" t="s">
        <v>31</v>
      </c>
      <c r="W116" s="37"/>
      <c r="X116" s="37" t="s">
        <v>31</v>
      </c>
      <c r="Y116" s="37"/>
      <c r="Z116" s="37" t="s">
        <v>31</v>
      </c>
      <c r="AA116" s="37"/>
      <c r="AB116" s="37" t="s">
        <v>31</v>
      </c>
      <c r="AC116" s="37"/>
      <c r="AD116" s="37" t="s">
        <v>31</v>
      </c>
      <c r="AE116" s="37"/>
      <c r="AH116" s="17"/>
      <c r="AI116" s="17" t="b">
        <f t="shared" si="6"/>
        <v>1</v>
      </c>
      <c r="AJ116" s="17" t="b">
        <f t="shared" si="7"/>
        <v>1</v>
      </c>
      <c r="AK116" s="17" t="str">
        <f t="shared" si="8"/>
        <v>EM00015659</v>
      </c>
    </row>
    <row r="117" spans="1:37" ht="15" customHeight="1" x14ac:dyDescent="0.25">
      <c r="A117" s="75" t="str">
        <f>_xlfn.XLOOKUP(C117,[1]Sheet2!$D:$D,[1]Sheet2!$C:$C)</f>
        <v>EM00000000</v>
      </c>
      <c r="B117" s="37">
        <v>1326</v>
      </c>
      <c r="C117" s="51" t="s">
        <v>212</v>
      </c>
      <c r="D117" s="37">
        <v>1</v>
      </c>
      <c r="E117" s="47" t="s">
        <v>205</v>
      </c>
      <c r="F117" s="48">
        <v>46266</v>
      </c>
      <c r="G117" s="48">
        <v>46295</v>
      </c>
      <c r="H117" s="37" t="s">
        <v>31</v>
      </c>
      <c r="I117" s="51" t="s">
        <v>212</v>
      </c>
      <c r="J117" s="51" t="s">
        <v>255</v>
      </c>
      <c r="K117" s="51" t="s">
        <v>217</v>
      </c>
      <c r="L117" s="37"/>
      <c r="M117" s="37"/>
      <c r="N117" s="37" t="s">
        <v>268</v>
      </c>
      <c r="O117" s="37" t="s">
        <v>275</v>
      </c>
      <c r="P117" s="37" t="s">
        <v>31</v>
      </c>
      <c r="Q117" s="37"/>
      <c r="R117" s="37" t="s">
        <v>31</v>
      </c>
      <c r="S117" s="37"/>
      <c r="T117" s="37" t="s">
        <v>204</v>
      </c>
      <c r="U117" s="37" t="s">
        <v>350</v>
      </c>
      <c r="V117" s="50" t="s">
        <v>31</v>
      </c>
      <c r="W117" s="37"/>
      <c r="X117" s="37" t="s">
        <v>31</v>
      </c>
      <c r="Y117" s="37"/>
      <c r="Z117" s="37" t="s">
        <v>31</v>
      </c>
      <c r="AA117" s="37"/>
      <c r="AB117" s="37" t="s">
        <v>31</v>
      </c>
      <c r="AC117" s="37"/>
      <c r="AD117" s="37" t="s">
        <v>31</v>
      </c>
      <c r="AE117" s="37"/>
      <c r="AH117" s="17"/>
      <c r="AI117" s="17" t="b">
        <f t="shared" si="6"/>
        <v>1</v>
      </c>
      <c r="AJ117" s="17" t="b">
        <f t="shared" si="7"/>
        <v>1</v>
      </c>
      <c r="AK117" s="17" t="str">
        <f t="shared" si="8"/>
        <v>EM00015659</v>
      </c>
    </row>
    <row r="118" spans="1:37" ht="15" customHeight="1" x14ac:dyDescent="0.25">
      <c r="A118" s="75" t="str">
        <f>_xlfn.XLOOKUP(C118,[1]Sheet2!$D:$D,[1]Sheet2!$C:$C)</f>
        <v>EM00016021</v>
      </c>
      <c r="B118" s="37">
        <v>1326</v>
      </c>
      <c r="C118" s="51" t="s">
        <v>213</v>
      </c>
      <c r="D118" s="37">
        <v>1</v>
      </c>
      <c r="E118" s="47" t="s">
        <v>205</v>
      </c>
      <c r="F118" s="48">
        <v>46266</v>
      </c>
      <c r="G118" s="48">
        <v>46295</v>
      </c>
      <c r="H118" s="37" t="s">
        <v>306</v>
      </c>
      <c r="I118" s="51" t="s">
        <v>213</v>
      </c>
      <c r="J118" s="51" t="s">
        <v>255</v>
      </c>
      <c r="K118" s="51" t="s">
        <v>217</v>
      </c>
      <c r="L118" s="37"/>
      <c r="M118" s="37"/>
      <c r="N118" s="37" t="s">
        <v>268</v>
      </c>
      <c r="O118" s="37" t="s">
        <v>275</v>
      </c>
      <c r="P118" s="37" t="s">
        <v>31</v>
      </c>
      <c r="Q118" s="37"/>
      <c r="R118" s="37" t="s">
        <v>31</v>
      </c>
      <c r="S118" s="37"/>
      <c r="T118" s="37" t="s">
        <v>204</v>
      </c>
      <c r="U118" s="37" t="s">
        <v>350</v>
      </c>
      <c r="V118" s="50" t="s">
        <v>31</v>
      </c>
      <c r="W118" s="37"/>
      <c r="X118" s="37" t="s">
        <v>31</v>
      </c>
      <c r="Y118" s="37"/>
      <c r="Z118" s="37" t="s">
        <v>31</v>
      </c>
      <c r="AA118" s="37"/>
      <c r="AB118" s="37" t="s">
        <v>31</v>
      </c>
      <c r="AC118" s="37"/>
      <c r="AD118" s="37" t="s">
        <v>31</v>
      </c>
      <c r="AE118" s="37"/>
      <c r="AH118" s="17"/>
      <c r="AI118" s="17" t="b">
        <f t="shared" si="6"/>
        <v>1</v>
      </c>
      <c r="AJ118" s="17" t="b">
        <f t="shared" si="7"/>
        <v>1</v>
      </c>
      <c r="AK118" s="17" t="str">
        <f t="shared" si="8"/>
        <v>EM00015659</v>
      </c>
    </row>
    <row r="119" spans="1:37" ht="15" customHeight="1" x14ac:dyDescent="0.25">
      <c r="A119" s="75" t="str">
        <f>_xlfn.XLOOKUP(C119,[1]Sheet2!$D:$D,[1]Sheet2!$C:$C)</f>
        <v>EM00015613</v>
      </c>
      <c r="B119" s="37">
        <v>1326</v>
      </c>
      <c r="C119" s="51" t="s">
        <v>214</v>
      </c>
      <c r="D119" s="37">
        <v>1</v>
      </c>
      <c r="E119" s="47" t="s">
        <v>205</v>
      </c>
      <c r="F119" s="48">
        <v>46266</v>
      </c>
      <c r="G119" s="48">
        <v>46295</v>
      </c>
      <c r="H119" s="37" t="s">
        <v>254</v>
      </c>
      <c r="I119" s="51" t="s">
        <v>214</v>
      </c>
      <c r="J119" s="51" t="s">
        <v>255</v>
      </c>
      <c r="K119" s="51" t="s">
        <v>217</v>
      </c>
      <c r="L119" s="37"/>
      <c r="M119" s="37"/>
      <c r="N119" s="37" t="s">
        <v>268</v>
      </c>
      <c r="O119" s="37" t="s">
        <v>275</v>
      </c>
      <c r="P119" s="37" t="s">
        <v>31</v>
      </c>
      <c r="Q119" s="37"/>
      <c r="R119" s="37" t="s">
        <v>31</v>
      </c>
      <c r="S119" s="37"/>
      <c r="T119" s="37" t="s">
        <v>204</v>
      </c>
      <c r="U119" s="37" t="s">
        <v>350</v>
      </c>
      <c r="V119" s="50" t="s">
        <v>31</v>
      </c>
      <c r="W119" s="37"/>
      <c r="X119" s="37" t="s">
        <v>31</v>
      </c>
      <c r="Y119" s="37"/>
      <c r="Z119" s="37" t="s">
        <v>31</v>
      </c>
      <c r="AA119" s="37"/>
      <c r="AB119" s="37" t="s">
        <v>31</v>
      </c>
      <c r="AC119" s="37"/>
      <c r="AD119" s="37" t="s">
        <v>31</v>
      </c>
      <c r="AE119" s="37"/>
      <c r="AH119" s="17"/>
      <c r="AI119" s="17" t="b">
        <f t="shared" si="6"/>
        <v>1</v>
      </c>
      <c r="AJ119" s="17" t="b">
        <f t="shared" si="7"/>
        <v>1</v>
      </c>
      <c r="AK119" s="17" t="str">
        <f t="shared" si="8"/>
        <v>EM00015659</v>
      </c>
    </row>
    <row r="120" spans="1:37" ht="15" customHeight="1" x14ac:dyDescent="0.25">
      <c r="A120" s="75" t="str">
        <f>_xlfn.XLOOKUP(C120,[1]Sheet2!$D:$D,[1]Sheet2!$C:$C)</f>
        <v>EM00016026</v>
      </c>
      <c r="B120" s="37">
        <v>1326</v>
      </c>
      <c r="C120" s="51" t="s">
        <v>215</v>
      </c>
      <c r="D120" s="37">
        <v>1</v>
      </c>
      <c r="E120" s="47" t="s">
        <v>205</v>
      </c>
      <c r="F120" s="48">
        <v>46266</v>
      </c>
      <c r="G120" s="48">
        <v>46295</v>
      </c>
      <c r="H120" s="37" t="s">
        <v>307</v>
      </c>
      <c r="I120" s="51" t="s">
        <v>215</v>
      </c>
      <c r="J120" s="51" t="s">
        <v>255</v>
      </c>
      <c r="K120" s="51" t="s">
        <v>217</v>
      </c>
      <c r="L120" s="37"/>
      <c r="M120" s="37"/>
      <c r="N120" s="37" t="s">
        <v>268</v>
      </c>
      <c r="O120" s="37" t="s">
        <v>275</v>
      </c>
      <c r="P120" s="37" t="s">
        <v>31</v>
      </c>
      <c r="Q120" s="37"/>
      <c r="R120" s="37" t="s">
        <v>31</v>
      </c>
      <c r="S120" s="37"/>
      <c r="T120" s="37" t="s">
        <v>204</v>
      </c>
      <c r="U120" s="37" t="s">
        <v>350</v>
      </c>
      <c r="V120" s="50" t="s">
        <v>31</v>
      </c>
      <c r="W120" s="37"/>
      <c r="X120" s="37" t="s">
        <v>31</v>
      </c>
      <c r="Y120" s="37"/>
      <c r="Z120" s="37" t="s">
        <v>31</v>
      </c>
      <c r="AA120" s="37"/>
      <c r="AB120" s="37" t="s">
        <v>31</v>
      </c>
      <c r="AC120" s="37"/>
      <c r="AD120" s="37" t="s">
        <v>31</v>
      </c>
      <c r="AE120" s="37"/>
      <c r="AH120" s="17"/>
      <c r="AI120" s="17" t="b">
        <f t="shared" si="6"/>
        <v>1</v>
      </c>
      <c r="AJ120" s="17" t="b">
        <f t="shared" si="7"/>
        <v>1</v>
      </c>
      <c r="AK120" s="17" t="str">
        <f t="shared" si="8"/>
        <v>EM00015659</v>
      </c>
    </row>
    <row r="121" spans="1:37" ht="15" customHeight="1" x14ac:dyDescent="0.25">
      <c r="A121" s="75" t="str">
        <f>_xlfn.XLOOKUP(C121,[1]Sheet2!$D:$D,[1]Sheet2!$C:$C)</f>
        <v>EM00016016</v>
      </c>
      <c r="B121" s="37">
        <v>1326</v>
      </c>
      <c r="C121" s="51" t="s">
        <v>216</v>
      </c>
      <c r="D121" s="37">
        <v>1</v>
      </c>
      <c r="E121" s="47" t="s">
        <v>205</v>
      </c>
      <c r="F121" s="48">
        <v>46266</v>
      </c>
      <c r="G121" s="48">
        <v>46295</v>
      </c>
      <c r="H121" s="37" t="s">
        <v>308</v>
      </c>
      <c r="I121" s="51" t="s">
        <v>216</v>
      </c>
      <c r="J121" s="51" t="s">
        <v>255</v>
      </c>
      <c r="K121" s="51" t="s">
        <v>217</v>
      </c>
      <c r="L121" s="37"/>
      <c r="M121" s="37"/>
      <c r="N121" s="37" t="s">
        <v>268</v>
      </c>
      <c r="O121" s="37" t="s">
        <v>275</v>
      </c>
      <c r="P121" s="37" t="s">
        <v>31</v>
      </c>
      <c r="Q121" s="37"/>
      <c r="R121" s="37" t="s">
        <v>31</v>
      </c>
      <c r="S121" s="37"/>
      <c r="T121" s="37" t="s">
        <v>204</v>
      </c>
      <c r="U121" s="37" t="s">
        <v>350</v>
      </c>
      <c r="V121" s="50" t="s">
        <v>31</v>
      </c>
      <c r="W121" s="37"/>
      <c r="X121" s="37" t="s">
        <v>31</v>
      </c>
      <c r="Y121" s="37"/>
      <c r="Z121" s="37" t="s">
        <v>31</v>
      </c>
      <c r="AA121" s="37"/>
      <c r="AB121" s="37" t="s">
        <v>31</v>
      </c>
      <c r="AC121" s="37"/>
      <c r="AD121" s="37" t="s">
        <v>31</v>
      </c>
      <c r="AE121" s="37"/>
      <c r="AH121" s="17"/>
      <c r="AI121" s="17" t="b">
        <f t="shared" si="6"/>
        <v>1</v>
      </c>
      <c r="AJ121" s="17" t="b">
        <f t="shared" si="7"/>
        <v>1</v>
      </c>
      <c r="AK121" s="17" t="str">
        <f t="shared" si="8"/>
        <v>EM00015659</v>
      </c>
    </row>
    <row r="122" spans="1:37" ht="15" customHeight="1" x14ac:dyDescent="0.25">
      <c r="A122" s="75" t="str">
        <f>_xlfn.XLOOKUP(C122,[1]Sheet2!$D:$D,[1]Sheet2!$C:$C)</f>
        <v>EM00015659</v>
      </c>
      <c r="B122" s="37">
        <v>1326</v>
      </c>
      <c r="C122" s="51" t="s">
        <v>217</v>
      </c>
      <c r="D122" s="37">
        <v>2</v>
      </c>
      <c r="E122" s="47" t="s">
        <v>205</v>
      </c>
      <c r="F122" s="48">
        <v>46266</v>
      </c>
      <c r="G122" s="48">
        <v>46295</v>
      </c>
      <c r="H122" s="37"/>
      <c r="I122" s="37"/>
      <c r="J122" s="51" t="s">
        <v>255</v>
      </c>
      <c r="K122" s="51" t="s">
        <v>217</v>
      </c>
      <c r="L122" s="37"/>
      <c r="M122" s="37"/>
      <c r="N122" s="37" t="s">
        <v>268</v>
      </c>
      <c r="O122" s="37" t="s">
        <v>275</v>
      </c>
      <c r="P122" s="37" t="s">
        <v>31</v>
      </c>
      <c r="Q122" s="37"/>
      <c r="R122" s="37" t="s">
        <v>31</v>
      </c>
      <c r="S122" s="37"/>
      <c r="T122" s="37" t="s">
        <v>204</v>
      </c>
      <c r="U122" s="37" t="s">
        <v>350</v>
      </c>
      <c r="V122" s="50" t="s">
        <v>31</v>
      </c>
      <c r="W122" s="37"/>
      <c r="X122" s="37" t="s">
        <v>31</v>
      </c>
      <c r="Y122" s="37"/>
      <c r="Z122" s="37" t="s">
        <v>31</v>
      </c>
      <c r="AA122" s="37"/>
      <c r="AB122" s="37" t="s">
        <v>31</v>
      </c>
      <c r="AC122" s="37"/>
      <c r="AD122" s="37" t="s">
        <v>31</v>
      </c>
      <c r="AE122" s="37"/>
      <c r="AH122" s="17"/>
      <c r="AI122" s="17" t="b">
        <f t="shared" si="6"/>
        <v>1</v>
      </c>
      <c r="AJ122" s="17" t="b">
        <f t="shared" si="7"/>
        <v>1</v>
      </c>
      <c r="AK122" s="17" t="str">
        <f t="shared" si="8"/>
        <v>EM00015554</v>
      </c>
    </row>
    <row r="123" spans="1:37" ht="15" customHeight="1" x14ac:dyDescent="0.25">
      <c r="A123" s="75" t="str">
        <f>_xlfn.XLOOKUP(C123,[1]Sheet2!$D:$D,[1]Sheet2!$C:$C)</f>
        <v>EM00015612</v>
      </c>
      <c r="B123" s="37">
        <v>1326</v>
      </c>
      <c r="C123" s="51" t="s">
        <v>218</v>
      </c>
      <c r="D123" s="37">
        <v>1</v>
      </c>
      <c r="E123" s="47" t="s">
        <v>205</v>
      </c>
      <c r="F123" s="48">
        <v>46266</v>
      </c>
      <c r="G123" s="48">
        <v>46295</v>
      </c>
      <c r="H123" s="37" t="s">
        <v>256</v>
      </c>
      <c r="I123" s="51" t="s">
        <v>218</v>
      </c>
      <c r="J123" s="51" t="s">
        <v>31</v>
      </c>
      <c r="K123" s="51" t="s">
        <v>223</v>
      </c>
      <c r="L123" s="37"/>
      <c r="M123" s="37"/>
      <c r="N123" s="37" t="s">
        <v>268</v>
      </c>
      <c r="O123" s="37" t="s">
        <v>275</v>
      </c>
      <c r="P123" s="37" t="s">
        <v>31</v>
      </c>
      <c r="Q123" s="37"/>
      <c r="R123" s="37" t="s">
        <v>31</v>
      </c>
      <c r="S123" s="37"/>
      <c r="T123" s="37" t="s">
        <v>204</v>
      </c>
      <c r="U123" s="37" t="s">
        <v>350</v>
      </c>
      <c r="V123" s="50" t="s">
        <v>31</v>
      </c>
      <c r="W123" s="37"/>
      <c r="X123" s="37" t="s">
        <v>31</v>
      </c>
      <c r="Y123" s="37"/>
      <c r="Z123" s="37" t="s">
        <v>31</v>
      </c>
      <c r="AA123" s="37"/>
      <c r="AB123" s="37" t="s">
        <v>31</v>
      </c>
      <c r="AC123" s="37"/>
      <c r="AD123" s="37" t="s">
        <v>31</v>
      </c>
      <c r="AE123" s="37"/>
      <c r="AH123" s="17"/>
      <c r="AI123" s="17" t="b">
        <f t="shared" si="6"/>
        <v>1</v>
      </c>
      <c r="AJ123" s="17" t="b">
        <f t="shared" si="7"/>
        <v>1</v>
      </c>
      <c r="AK123" s="17" t="str">
        <f t="shared" si="8"/>
        <v>EM00000000</v>
      </c>
    </row>
    <row r="124" spans="1:37" ht="15" customHeight="1" x14ac:dyDescent="0.25">
      <c r="A124" s="75" t="str">
        <f>_xlfn.XLOOKUP(C124,[1]Sheet2!$D:$D,[1]Sheet2!$C:$C)</f>
        <v>EM00016028</v>
      </c>
      <c r="B124" s="37">
        <v>1326</v>
      </c>
      <c r="C124" s="51" t="s">
        <v>219</v>
      </c>
      <c r="D124" s="37">
        <v>1</v>
      </c>
      <c r="E124" s="47" t="s">
        <v>205</v>
      </c>
      <c r="F124" s="48">
        <v>46266</v>
      </c>
      <c r="G124" s="48">
        <v>46295</v>
      </c>
      <c r="H124" s="37" t="s">
        <v>309</v>
      </c>
      <c r="I124" s="51" t="s">
        <v>219</v>
      </c>
      <c r="J124" s="51" t="s">
        <v>31</v>
      </c>
      <c r="K124" s="51" t="s">
        <v>223</v>
      </c>
      <c r="L124" s="37"/>
      <c r="M124" s="37"/>
      <c r="N124" s="37" t="s">
        <v>268</v>
      </c>
      <c r="O124" s="37" t="s">
        <v>275</v>
      </c>
      <c r="P124" s="37" t="s">
        <v>31</v>
      </c>
      <c r="Q124" s="37"/>
      <c r="R124" s="37" t="s">
        <v>31</v>
      </c>
      <c r="S124" s="37"/>
      <c r="T124" s="37" t="s">
        <v>204</v>
      </c>
      <c r="U124" s="37" t="s">
        <v>350</v>
      </c>
      <c r="V124" s="50" t="s">
        <v>31</v>
      </c>
      <c r="W124" s="37"/>
      <c r="X124" s="37" t="s">
        <v>31</v>
      </c>
      <c r="Y124" s="37"/>
      <c r="Z124" s="37" t="s">
        <v>31</v>
      </c>
      <c r="AA124" s="37"/>
      <c r="AB124" s="37" t="s">
        <v>31</v>
      </c>
      <c r="AC124" s="37"/>
      <c r="AD124" s="37" t="s">
        <v>31</v>
      </c>
      <c r="AE124" s="37"/>
      <c r="AH124" s="17"/>
      <c r="AI124" s="17" t="b">
        <f t="shared" si="6"/>
        <v>1</v>
      </c>
      <c r="AJ124" s="17" t="b">
        <f t="shared" si="7"/>
        <v>1</v>
      </c>
      <c r="AK124" s="17" t="str">
        <f t="shared" si="8"/>
        <v>EM00000000</v>
      </c>
    </row>
    <row r="125" spans="1:37" ht="15" customHeight="1" x14ac:dyDescent="0.25">
      <c r="A125" s="75" t="str">
        <f>_xlfn.XLOOKUP(C125,[1]Sheet2!$D:$D,[1]Sheet2!$C:$C)</f>
        <v>EM00015603</v>
      </c>
      <c r="B125" s="37">
        <v>1326</v>
      </c>
      <c r="C125" s="51" t="s">
        <v>220</v>
      </c>
      <c r="D125" s="37">
        <v>1</v>
      </c>
      <c r="E125" s="47" t="s">
        <v>205</v>
      </c>
      <c r="F125" s="48">
        <v>46266</v>
      </c>
      <c r="G125" s="48">
        <v>46295</v>
      </c>
      <c r="H125" s="37" t="s">
        <v>257</v>
      </c>
      <c r="I125" s="51" t="s">
        <v>220</v>
      </c>
      <c r="J125" s="51" t="s">
        <v>31</v>
      </c>
      <c r="K125" s="51" t="s">
        <v>223</v>
      </c>
      <c r="L125" s="37"/>
      <c r="M125" s="37"/>
      <c r="N125" s="37" t="s">
        <v>268</v>
      </c>
      <c r="O125" s="37" t="s">
        <v>275</v>
      </c>
      <c r="P125" s="37" t="s">
        <v>31</v>
      </c>
      <c r="Q125" s="37"/>
      <c r="R125" s="37" t="s">
        <v>31</v>
      </c>
      <c r="S125" s="37"/>
      <c r="T125" s="37" t="s">
        <v>204</v>
      </c>
      <c r="U125" s="37" t="s">
        <v>350</v>
      </c>
      <c r="V125" s="50" t="s">
        <v>31</v>
      </c>
      <c r="W125" s="37"/>
      <c r="X125" s="37" t="s">
        <v>31</v>
      </c>
      <c r="Y125" s="37"/>
      <c r="Z125" s="37" t="s">
        <v>31</v>
      </c>
      <c r="AA125" s="37"/>
      <c r="AB125" s="37" t="s">
        <v>31</v>
      </c>
      <c r="AC125" s="37"/>
      <c r="AD125" s="37" t="s">
        <v>31</v>
      </c>
      <c r="AE125" s="37"/>
      <c r="AH125" s="17"/>
      <c r="AI125" s="17" t="b">
        <f t="shared" si="6"/>
        <v>1</v>
      </c>
      <c r="AJ125" s="17" t="b">
        <f t="shared" si="7"/>
        <v>1</v>
      </c>
      <c r="AK125" s="17" t="str">
        <f t="shared" si="8"/>
        <v>EM00000000</v>
      </c>
    </row>
    <row r="126" spans="1:37" ht="15" customHeight="1" x14ac:dyDescent="0.25">
      <c r="A126" s="75" t="str">
        <f>_xlfn.XLOOKUP(C126,[1]Sheet2!$D:$D,[1]Sheet2!$C:$C)</f>
        <v>EM00015716</v>
      </c>
      <c r="B126" s="37">
        <v>1326</v>
      </c>
      <c r="C126" s="51" t="s">
        <v>221</v>
      </c>
      <c r="D126" s="37">
        <v>1</v>
      </c>
      <c r="E126" s="47" t="s">
        <v>205</v>
      </c>
      <c r="F126" s="48">
        <v>46266</v>
      </c>
      <c r="G126" s="48">
        <v>46295</v>
      </c>
      <c r="H126" s="37" t="s">
        <v>258</v>
      </c>
      <c r="I126" s="51" t="s">
        <v>221</v>
      </c>
      <c r="J126" s="51" t="s">
        <v>31</v>
      </c>
      <c r="K126" s="51" t="s">
        <v>223</v>
      </c>
      <c r="L126" s="37"/>
      <c r="M126" s="37"/>
      <c r="N126" s="37" t="s">
        <v>268</v>
      </c>
      <c r="O126" s="37" t="s">
        <v>275</v>
      </c>
      <c r="P126" s="37" t="s">
        <v>31</v>
      </c>
      <c r="Q126" s="37"/>
      <c r="R126" s="37" t="s">
        <v>31</v>
      </c>
      <c r="S126" s="37"/>
      <c r="T126" s="37" t="s">
        <v>204</v>
      </c>
      <c r="U126" s="37" t="s">
        <v>350</v>
      </c>
      <c r="V126" s="50" t="s">
        <v>31</v>
      </c>
      <c r="W126" s="37"/>
      <c r="X126" s="37" t="s">
        <v>31</v>
      </c>
      <c r="Y126" s="37"/>
      <c r="Z126" s="37" t="s">
        <v>31</v>
      </c>
      <c r="AA126" s="37"/>
      <c r="AB126" s="37" t="s">
        <v>31</v>
      </c>
      <c r="AC126" s="37"/>
      <c r="AD126" s="37" t="s">
        <v>31</v>
      </c>
      <c r="AE126" s="37"/>
      <c r="AH126" s="17"/>
      <c r="AI126" s="17" t="b">
        <f t="shared" si="6"/>
        <v>1</v>
      </c>
      <c r="AJ126" s="17" t="b">
        <f t="shared" si="7"/>
        <v>1</v>
      </c>
      <c r="AK126" s="17" t="str">
        <f t="shared" si="8"/>
        <v>EM00000000</v>
      </c>
    </row>
    <row r="127" spans="1:37" ht="15" customHeight="1" x14ac:dyDescent="0.25">
      <c r="A127" s="75" t="str">
        <f>_xlfn.XLOOKUP(C127,[1]Sheet2!$D:$D,[1]Sheet2!$C:$C)</f>
        <v>EM00016018</v>
      </c>
      <c r="B127" s="37">
        <v>1326</v>
      </c>
      <c r="C127" s="51" t="s">
        <v>222</v>
      </c>
      <c r="D127" s="37">
        <v>1</v>
      </c>
      <c r="E127" s="47" t="s">
        <v>205</v>
      </c>
      <c r="F127" s="48">
        <v>46266</v>
      </c>
      <c r="G127" s="48">
        <v>46295</v>
      </c>
      <c r="H127" s="37" t="s">
        <v>310</v>
      </c>
      <c r="I127" s="51" t="s">
        <v>222</v>
      </c>
      <c r="J127" s="51" t="s">
        <v>31</v>
      </c>
      <c r="K127" s="51" t="s">
        <v>223</v>
      </c>
      <c r="L127" s="37"/>
      <c r="M127" s="37"/>
      <c r="N127" s="37" t="s">
        <v>268</v>
      </c>
      <c r="O127" s="37" t="s">
        <v>275</v>
      </c>
      <c r="P127" s="37" t="s">
        <v>31</v>
      </c>
      <c r="Q127" s="37"/>
      <c r="R127" s="37" t="s">
        <v>31</v>
      </c>
      <c r="S127" s="37"/>
      <c r="T127" s="37" t="s">
        <v>204</v>
      </c>
      <c r="U127" s="37" t="s">
        <v>350</v>
      </c>
      <c r="V127" s="50" t="s">
        <v>31</v>
      </c>
      <c r="W127" s="37"/>
      <c r="X127" s="37" t="s">
        <v>31</v>
      </c>
      <c r="Y127" s="37"/>
      <c r="Z127" s="37" t="s">
        <v>31</v>
      </c>
      <c r="AA127" s="37"/>
      <c r="AB127" s="37" t="s">
        <v>31</v>
      </c>
      <c r="AC127" s="37"/>
      <c r="AD127" s="37" t="s">
        <v>31</v>
      </c>
      <c r="AE127" s="37"/>
      <c r="AH127" s="17"/>
      <c r="AI127" s="17" t="b">
        <f t="shared" si="6"/>
        <v>1</v>
      </c>
      <c r="AJ127" s="17" t="b">
        <f t="shared" si="7"/>
        <v>1</v>
      </c>
      <c r="AK127" s="17" t="str">
        <f t="shared" si="8"/>
        <v>EM00000000</v>
      </c>
    </row>
    <row r="128" spans="1:37" ht="15" customHeight="1" x14ac:dyDescent="0.25">
      <c r="A128" s="75" t="str">
        <f>_xlfn.XLOOKUP(C128,[1]Sheet2!$D:$D,[1]Sheet2!$C:$C)</f>
        <v>EM00016464</v>
      </c>
      <c r="B128" s="37">
        <v>1326</v>
      </c>
      <c r="C128" s="51" t="s">
        <v>223</v>
      </c>
      <c r="D128" s="37">
        <v>2</v>
      </c>
      <c r="E128" s="47" t="s">
        <v>205</v>
      </c>
      <c r="F128" s="48">
        <v>46266</v>
      </c>
      <c r="G128" s="48">
        <v>46295</v>
      </c>
      <c r="H128" s="37"/>
      <c r="I128" s="37"/>
      <c r="J128" s="51" t="s">
        <v>937</v>
      </c>
      <c r="K128" s="51" t="s">
        <v>223</v>
      </c>
      <c r="L128" s="37"/>
      <c r="M128" s="37"/>
      <c r="N128" s="37" t="s">
        <v>268</v>
      </c>
      <c r="O128" s="37" t="s">
        <v>275</v>
      </c>
      <c r="P128" s="37" t="s">
        <v>31</v>
      </c>
      <c r="Q128" s="37"/>
      <c r="R128" s="37" t="s">
        <v>31</v>
      </c>
      <c r="S128" s="37"/>
      <c r="T128" s="37" t="s">
        <v>204</v>
      </c>
      <c r="U128" s="37" t="s">
        <v>350</v>
      </c>
      <c r="V128" s="50" t="s">
        <v>31</v>
      </c>
      <c r="W128" s="37"/>
      <c r="X128" s="37" t="s">
        <v>31</v>
      </c>
      <c r="Y128" s="37"/>
      <c r="Z128" s="37" t="s">
        <v>31</v>
      </c>
      <c r="AA128" s="37"/>
      <c r="AB128" s="37" t="s">
        <v>31</v>
      </c>
      <c r="AC128" s="37"/>
      <c r="AD128" s="37" t="s">
        <v>31</v>
      </c>
      <c r="AE128" s="37"/>
      <c r="AH128" s="17"/>
      <c r="AI128" s="17" t="b">
        <f t="shared" si="6"/>
        <v>1</v>
      </c>
      <c r="AJ128" s="17" t="b">
        <f t="shared" si="7"/>
        <v>1</v>
      </c>
      <c r="AK128" s="17" t="str">
        <f t="shared" si="8"/>
        <v>EM00015554</v>
      </c>
    </row>
    <row r="129" spans="1:37" ht="15" customHeight="1" x14ac:dyDescent="0.25">
      <c r="A129" s="75" t="str">
        <f>_xlfn.XLOOKUP(C129,[1]Sheet2!$D:$D,[1]Sheet2!$C:$C)</f>
        <v>EM00016464</v>
      </c>
      <c r="B129" s="37">
        <v>1325</v>
      </c>
      <c r="C129" s="51" t="s">
        <v>223</v>
      </c>
      <c r="D129" s="37">
        <v>2</v>
      </c>
      <c r="E129" s="47" t="s">
        <v>205</v>
      </c>
      <c r="F129" s="48">
        <v>46266</v>
      </c>
      <c r="G129" s="48">
        <v>46295</v>
      </c>
      <c r="H129" s="37"/>
      <c r="I129" s="37"/>
      <c r="J129" s="51" t="s">
        <v>937</v>
      </c>
      <c r="K129" s="51" t="s">
        <v>223</v>
      </c>
      <c r="L129" s="37"/>
      <c r="M129" s="37"/>
      <c r="N129" s="37" t="s">
        <v>268</v>
      </c>
      <c r="O129" s="37" t="s">
        <v>275</v>
      </c>
      <c r="P129" s="37" t="s">
        <v>31</v>
      </c>
      <c r="Q129" s="37"/>
      <c r="R129" s="37" t="s">
        <v>31</v>
      </c>
      <c r="S129" s="37"/>
      <c r="T129" s="37" t="s">
        <v>204</v>
      </c>
      <c r="U129" s="37" t="s">
        <v>350</v>
      </c>
      <c r="V129" s="50" t="s">
        <v>31</v>
      </c>
      <c r="W129" s="37"/>
      <c r="X129" s="37" t="s">
        <v>31</v>
      </c>
      <c r="Y129" s="37"/>
      <c r="Z129" s="37" t="s">
        <v>31</v>
      </c>
      <c r="AA129" s="37"/>
      <c r="AB129" s="37" t="s">
        <v>31</v>
      </c>
      <c r="AC129" s="37"/>
      <c r="AD129" s="37" t="s">
        <v>31</v>
      </c>
      <c r="AE129" s="37"/>
      <c r="AH129" s="17"/>
      <c r="AI129" s="17" t="b">
        <f t="shared" si="6"/>
        <v>1</v>
      </c>
      <c r="AJ129" s="17" t="b">
        <f t="shared" si="7"/>
        <v>1</v>
      </c>
      <c r="AK129" s="17" t="str">
        <f t="shared" si="8"/>
        <v>EM00015554</v>
      </c>
    </row>
    <row r="130" spans="1:37" ht="15" customHeight="1" x14ac:dyDescent="0.25">
      <c r="A130" s="75" t="str">
        <f>_xlfn.XLOOKUP(C130,[1]Sheet2!$D:$D,[1]Sheet2!$C:$C)</f>
        <v>EM00015580</v>
      </c>
      <c r="B130" s="37">
        <v>1327</v>
      </c>
      <c r="C130" s="51" t="s">
        <v>224</v>
      </c>
      <c r="D130" s="37">
        <v>1</v>
      </c>
      <c r="E130" s="47" t="s">
        <v>205</v>
      </c>
      <c r="F130" s="48">
        <v>46266</v>
      </c>
      <c r="G130" s="48">
        <v>46295</v>
      </c>
      <c r="H130" s="37" t="s">
        <v>259</v>
      </c>
      <c r="I130" s="51" t="s">
        <v>224</v>
      </c>
      <c r="J130" s="51" t="s">
        <v>261</v>
      </c>
      <c r="K130" s="51" t="s">
        <v>230</v>
      </c>
      <c r="L130" s="37"/>
      <c r="M130" s="37"/>
      <c r="N130" s="37" t="s">
        <v>268</v>
      </c>
      <c r="O130" s="37" t="s">
        <v>275</v>
      </c>
      <c r="P130" s="37" t="s">
        <v>31</v>
      </c>
      <c r="Q130" s="37"/>
      <c r="R130" s="37" t="s">
        <v>31</v>
      </c>
      <c r="S130" s="37"/>
      <c r="T130" s="37" t="s">
        <v>204</v>
      </c>
      <c r="U130" s="37" t="s">
        <v>350</v>
      </c>
      <c r="V130" s="50" t="s">
        <v>31</v>
      </c>
      <c r="W130" s="37"/>
      <c r="X130" s="37" t="s">
        <v>31</v>
      </c>
      <c r="Y130" s="37"/>
      <c r="Z130" s="37" t="s">
        <v>31</v>
      </c>
      <c r="AA130" s="37"/>
      <c r="AB130" s="37" t="s">
        <v>31</v>
      </c>
      <c r="AC130" s="37"/>
      <c r="AD130" s="37" t="s">
        <v>31</v>
      </c>
      <c r="AE130" s="37"/>
      <c r="AH130" s="17"/>
      <c r="AI130" s="17" t="b">
        <f t="shared" si="6"/>
        <v>1</v>
      </c>
      <c r="AJ130" s="17" t="b">
        <f t="shared" si="7"/>
        <v>1</v>
      </c>
      <c r="AK130" s="17" t="str">
        <f t="shared" si="8"/>
        <v>EM00002440</v>
      </c>
    </row>
    <row r="131" spans="1:37" ht="15" customHeight="1" x14ac:dyDescent="0.25">
      <c r="A131" s="75" t="str">
        <f>_xlfn.XLOOKUP(C131,[1]Sheet2!$D:$D,[1]Sheet2!$C:$C)</f>
        <v>EM00015583</v>
      </c>
      <c r="B131" s="37">
        <v>1327</v>
      </c>
      <c r="C131" s="51" t="s">
        <v>225</v>
      </c>
      <c r="D131" s="37">
        <v>1</v>
      </c>
      <c r="E131" s="47" t="s">
        <v>205</v>
      </c>
      <c r="F131" s="48">
        <v>46266</v>
      </c>
      <c r="G131" s="48">
        <v>46295</v>
      </c>
      <c r="H131" s="37" t="s">
        <v>260</v>
      </c>
      <c r="I131" s="51" t="s">
        <v>225</v>
      </c>
      <c r="J131" s="51" t="s">
        <v>261</v>
      </c>
      <c r="K131" s="51" t="s">
        <v>230</v>
      </c>
      <c r="L131" s="37"/>
      <c r="M131" s="37"/>
      <c r="N131" s="37" t="s">
        <v>268</v>
      </c>
      <c r="O131" s="37" t="s">
        <v>275</v>
      </c>
      <c r="P131" s="37" t="s">
        <v>31</v>
      </c>
      <c r="Q131" s="37"/>
      <c r="R131" s="37" t="s">
        <v>31</v>
      </c>
      <c r="S131" s="37"/>
      <c r="T131" s="37" t="s">
        <v>204</v>
      </c>
      <c r="U131" s="37" t="s">
        <v>350</v>
      </c>
      <c r="V131" s="50" t="s">
        <v>31</v>
      </c>
      <c r="W131" s="37"/>
      <c r="X131" s="37" t="s">
        <v>31</v>
      </c>
      <c r="Y131" s="37"/>
      <c r="Z131" s="37" t="s">
        <v>31</v>
      </c>
      <c r="AA131" s="37"/>
      <c r="AB131" s="37" t="s">
        <v>31</v>
      </c>
      <c r="AC131" s="37"/>
      <c r="AD131" s="37" t="s">
        <v>31</v>
      </c>
      <c r="AE131" s="37"/>
      <c r="AH131" s="17"/>
      <c r="AI131" s="17" t="b">
        <f t="shared" ref="AI131:AI194" si="9">IF(D131=1,A131=H131,IF(D131=2,A131=J131,IF(D131=4,A131=N131,IF(D131=6,A131=R131,IF(D131=7,A131=T131,IF(D131=8,A131=V131,IF(D131=9,A131=X131,IF(D131=10,A131=Z131,IF(D131=11,A131=AB131,IF(D131=12,A131=AD131,IF(D131=13,A131=AF131)))))))))))</f>
        <v>1</v>
      </c>
      <c r="AJ131" s="17" t="b">
        <f t="shared" ref="AJ131:AJ194" si="10">IF(D131=1,C131=I131,IF(D131=2,C131=K131,IF(D131=4,C131=O131,IF(D131=6,C131=S131,IF(D131=7,C131=U131,IF(D131=8,C131=W131,IF(D131=9,C131=Y131,IF(D131=10,C131=AA131,IF(D131=11,C131=AC131,IF(D131=12,C131=AE131,IF(D131=13,C131=AG131)))))))))))</f>
        <v>1</v>
      </c>
      <c r="AK131" s="17" t="str">
        <f t="shared" ref="AK131:AK194" si="11">IF(D131=1,J131,IF(D131=2,N131,IF(D131=4,R131,IF(D131=6,T131,IF(D131=7,V131,IF(D131=8,X131,IF(D131=9,Z131)))))))</f>
        <v>EM00002440</v>
      </c>
    </row>
    <row r="132" spans="1:37" ht="15" customHeight="1" x14ac:dyDescent="0.25">
      <c r="A132" s="75" t="str">
        <f>_xlfn.XLOOKUP(C132,[1]Sheet2!$D:$D,[1]Sheet2!$C:$C)</f>
        <v>EM00016013</v>
      </c>
      <c r="B132" s="37">
        <v>1327</v>
      </c>
      <c r="C132" s="51" t="s">
        <v>226</v>
      </c>
      <c r="D132" s="37">
        <v>1</v>
      </c>
      <c r="E132" s="47" t="s">
        <v>205</v>
      </c>
      <c r="F132" s="48">
        <v>46266</v>
      </c>
      <c r="G132" s="48">
        <v>46295</v>
      </c>
      <c r="H132" s="37" t="s">
        <v>312</v>
      </c>
      <c r="I132" s="51" t="s">
        <v>226</v>
      </c>
      <c r="J132" s="51" t="s">
        <v>261</v>
      </c>
      <c r="K132" s="51" t="s">
        <v>230</v>
      </c>
      <c r="L132" s="37"/>
      <c r="M132" s="37"/>
      <c r="N132" s="37" t="s">
        <v>268</v>
      </c>
      <c r="O132" s="37" t="s">
        <v>275</v>
      </c>
      <c r="P132" s="37" t="s">
        <v>31</v>
      </c>
      <c r="Q132" s="37"/>
      <c r="R132" s="37" t="s">
        <v>31</v>
      </c>
      <c r="S132" s="37"/>
      <c r="T132" s="37" t="s">
        <v>204</v>
      </c>
      <c r="U132" s="37" t="s">
        <v>350</v>
      </c>
      <c r="V132" s="50" t="s">
        <v>31</v>
      </c>
      <c r="W132" s="37"/>
      <c r="X132" s="37" t="s">
        <v>31</v>
      </c>
      <c r="Y132" s="37"/>
      <c r="Z132" s="37" t="s">
        <v>31</v>
      </c>
      <c r="AA132" s="37"/>
      <c r="AB132" s="37" t="s">
        <v>31</v>
      </c>
      <c r="AC132" s="37"/>
      <c r="AD132" s="37" t="s">
        <v>31</v>
      </c>
      <c r="AE132" s="37"/>
      <c r="AH132" s="17"/>
      <c r="AI132" s="17" t="b">
        <f t="shared" si="9"/>
        <v>1</v>
      </c>
      <c r="AJ132" s="17" t="b">
        <f t="shared" si="10"/>
        <v>1</v>
      </c>
      <c r="AK132" s="17" t="str">
        <f t="shared" si="11"/>
        <v>EM00002440</v>
      </c>
    </row>
    <row r="133" spans="1:37" ht="15" customHeight="1" x14ac:dyDescent="0.25">
      <c r="A133" s="75" t="str">
        <f>_xlfn.XLOOKUP(C133,[1]Sheet2!$D:$D,[1]Sheet2!$C:$C)</f>
        <v>EM00016203</v>
      </c>
      <c r="B133" s="37">
        <v>1327</v>
      </c>
      <c r="C133" s="51" t="s">
        <v>227</v>
      </c>
      <c r="D133" s="37">
        <v>1</v>
      </c>
      <c r="E133" s="47" t="s">
        <v>205</v>
      </c>
      <c r="F133" s="48">
        <v>46266</v>
      </c>
      <c r="G133" s="48">
        <v>46295</v>
      </c>
      <c r="H133" s="37" t="s">
        <v>464</v>
      </c>
      <c r="I133" s="51" t="s">
        <v>227</v>
      </c>
      <c r="J133" s="51" t="s">
        <v>261</v>
      </c>
      <c r="K133" s="51" t="s">
        <v>230</v>
      </c>
      <c r="L133" s="37"/>
      <c r="M133" s="37"/>
      <c r="N133" s="37" t="s">
        <v>268</v>
      </c>
      <c r="O133" s="37" t="s">
        <v>275</v>
      </c>
      <c r="P133" s="37" t="s">
        <v>31</v>
      </c>
      <c r="Q133" s="37"/>
      <c r="R133" s="37" t="s">
        <v>31</v>
      </c>
      <c r="S133" s="37"/>
      <c r="T133" s="37" t="s">
        <v>204</v>
      </c>
      <c r="U133" s="37" t="s">
        <v>350</v>
      </c>
      <c r="V133" s="50" t="s">
        <v>31</v>
      </c>
      <c r="W133" s="37"/>
      <c r="X133" s="37" t="s">
        <v>31</v>
      </c>
      <c r="Y133" s="37"/>
      <c r="Z133" s="37" t="s">
        <v>31</v>
      </c>
      <c r="AA133" s="37"/>
      <c r="AB133" s="37" t="s">
        <v>31</v>
      </c>
      <c r="AC133" s="37"/>
      <c r="AD133" s="37" t="s">
        <v>31</v>
      </c>
      <c r="AE133" s="37"/>
      <c r="AH133" s="17"/>
      <c r="AI133" s="17" t="b">
        <f t="shared" si="9"/>
        <v>1</v>
      </c>
      <c r="AJ133" s="17" t="b">
        <f t="shared" si="10"/>
        <v>1</v>
      </c>
      <c r="AK133" s="17" t="str">
        <f t="shared" si="11"/>
        <v>EM00002440</v>
      </c>
    </row>
    <row r="134" spans="1:37" ht="15" customHeight="1" x14ac:dyDescent="0.25">
      <c r="A134" s="75" t="str">
        <f>_xlfn.XLOOKUP(C134,[1]Sheet2!$D:$D,[1]Sheet2!$C:$C)</f>
        <v>EM00000000</v>
      </c>
      <c r="B134" s="37">
        <v>1327</v>
      </c>
      <c r="C134" s="51" t="s">
        <v>228</v>
      </c>
      <c r="D134" s="37">
        <v>1</v>
      </c>
      <c r="E134" s="47" t="s">
        <v>205</v>
      </c>
      <c r="F134" s="48">
        <v>46266</v>
      </c>
      <c r="G134" s="48">
        <v>46295</v>
      </c>
      <c r="H134" s="37" t="s">
        <v>31</v>
      </c>
      <c r="I134" s="51" t="s">
        <v>228</v>
      </c>
      <c r="J134" s="51" t="s">
        <v>261</v>
      </c>
      <c r="K134" s="51" t="s">
        <v>230</v>
      </c>
      <c r="L134" s="37"/>
      <c r="M134" s="37"/>
      <c r="N134" s="37" t="s">
        <v>268</v>
      </c>
      <c r="O134" s="37" t="s">
        <v>275</v>
      </c>
      <c r="P134" s="37" t="s">
        <v>31</v>
      </c>
      <c r="Q134" s="37"/>
      <c r="R134" s="37" t="s">
        <v>31</v>
      </c>
      <c r="S134" s="37"/>
      <c r="T134" s="37" t="s">
        <v>204</v>
      </c>
      <c r="U134" s="37" t="s">
        <v>350</v>
      </c>
      <c r="V134" s="50" t="s">
        <v>31</v>
      </c>
      <c r="W134" s="37"/>
      <c r="X134" s="37" t="s">
        <v>31</v>
      </c>
      <c r="Y134" s="37"/>
      <c r="Z134" s="37" t="s">
        <v>31</v>
      </c>
      <c r="AA134" s="37"/>
      <c r="AB134" s="37" t="s">
        <v>31</v>
      </c>
      <c r="AC134" s="37"/>
      <c r="AD134" s="37" t="s">
        <v>31</v>
      </c>
      <c r="AE134" s="37"/>
      <c r="AH134" s="17"/>
      <c r="AI134" s="17" t="b">
        <f t="shared" si="9"/>
        <v>1</v>
      </c>
      <c r="AJ134" s="17" t="b">
        <f t="shared" si="10"/>
        <v>1</v>
      </c>
      <c r="AK134" s="17" t="str">
        <f t="shared" si="11"/>
        <v>EM00002440</v>
      </c>
    </row>
    <row r="135" spans="1:37" ht="15" customHeight="1" x14ac:dyDescent="0.25">
      <c r="A135" s="75" t="str">
        <f>_xlfn.XLOOKUP(C135,[1]Sheet2!$D:$D,[1]Sheet2!$C:$C)</f>
        <v>EM00016283</v>
      </c>
      <c r="B135" s="37">
        <v>1327</v>
      </c>
      <c r="C135" s="51" t="s">
        <v>229</v>
      </c>
      <c r="D135" s="37">
        <v>1</v>
      </c>
      <c r="E135" s="47" t="s">
        <v>205</v>
      </c>
      <c r="F135" s="48">
        <v>46266</v>
      </c>
      <c r="G135" s="48">
        <v>46295</v>
      </c>
      <c r="H135" s="37" t="s">
        <v>465</v>
      </c>
      <c r="I135" s="51" t="s">
        <v>229</v>
      </c>
      <c r="J135" s="51" t="s">
        <v>261</v>
      </c>
      <c r="K135" s="51" t="s">
        <v>230</v>
      </c>
      <c r="L135" s="37"/>
      <c r="M135" s="37"/>
      <c r="N135" s="37" t="s">
        <v>268</v>
      </c>
      <c r="O135" s="37" t="s">
        <v>275</v>
      </c>
      <c r="P135" s="37" t="s">
        <v>31</v>
      </c>
      <c r="Q135" s="37"/>
      <c r="R135" s="37" t="s">
        <v>31</v>
      </c>
      <c r="S135" s="37"/>
      <c r="T135" s="37" t="s">
        <v>204</v>
      </c>
      <c r="U135" s="37" t="s">
        <v>350</v>
      </c>
      <c r="V135" s="50" t="s">
        <v>31</v>
      </c>
      <c r="W135" s="37"/>
      <c r="X135" s="37" t="s">
        <v>31</v>
      </c>
      <c r="Y135" s="37"/>
      <c r="Z135" s="37" t="s">
        <v>31</v>
      </c>
      <c r="AA135" s="37"/>
      <c r="AB135" s="37" t="s">
        <v>31</v>
      </c>
      <c r="AC135" s="37"/>
      <c r="AD135" s="37" t="s">
        <v>31</v>
      </c>
      <c r="AE135" s="37"/>
      <c r="AH135" s="17"/>
      <c r="AI135" s="17" t="b">
        <f t="shared" si="9"/>
        <v>1</v>
      </c>
      <c r="AJ135" s="17" t="b">
        <f t="shared" si="10"/>
        <v>1</v>
      </c>
      <c r="AK135" s="17" t="str">
        <f t="shared" si="11"/>
        <v>EM00002440</v>
      </c>
    </row>
    <row r="136" spans="1:37" ht="15" customHeight="1" x14ac:dyDescent="0.25">
      <c r="A136" s="75" t="str">
        <f>_xlfn.XLOOKUP(C136,[1]Sheet2!$D:$D,[1]Sheet2!$C:$C)</f>
        <v>EM00002440</v>
      </c>
      <c r="B136" s="37">
        <v>1327</v>
      </c>
      <c r="C136" s="51" t="s">
        <v>230</v>
      </c>
      <c r="D136" s="37">
        <v>2</v>
      </c>
      <c r="E136" s="47" t="s">
        <v>205</v>
      </c>
      <c r="F136" s="48">
        <v>46266</v>
      </c>
      <c r="G136" s="48">
        <v>46295</v>
      </c>
      <c r="H136" s="37"/>
      <c r="I136" s="37"/>
      <c r="J136" s="51" t="s">
        <v>261</v>
      </c>
      <c r="K136" s="51" t="s">
        <v>230</v>
      </c>
      <c r="L136" s="37"/>
      <c r="M136" s="37"/>
      <c r="N136" s="37" t="s">
        <v>268</v>
      </c>
      <c r="O136" s="37" t="s">
        <v>275</v>
      </c>
      <c r="P136" s="37" t="s">
        <v>31</v>
      </c>
      <c r="Q136" s="37"/>
      <c r="R136" s="37" t="s">
        <v>31</v>
      </c>
      <c r="S136" s="37"/>
      <c r="T136" s="37" t="s">
        <v>204</v>
      </c>
      <c r="U136" s="37" t="s">
        <v>350</v>
      </c>
      <c r="V136" s="50" t="s">
        <v>31</v>
      </c>
      <c r="W136" s="37"/>
      <c r="X136" s="37" t="s">
        <v>31</v>
      </c>
      <c r="Y136" s="37"/>
      <c r="Z136" s="37" t="s">
        <v>31</v>
      </c>
      <c r="AA136" s="37"/>
      <c r="AB136" s="37" t="s">
        <v>31</v>
      </c>
      <c r="AC136" s="37"/>
      <c r="AD136" s="37" t="s">
        <v>31</v>
      </c>
      <c r="AE136" s="37"/>
      <c r="AH136" s="17"/>
      <c r="AI136" s="17" t="b">
        <f t="shared" si="9"/>
        <v>1</v>
      </c>
      <c r="AJ136" s="17" t="b">
        <f t="shared" si="10"/>
        <v>1</v>
      </c>
      <c r="AK136" s="17" t="str">
        <f t="shared" si="11"/>
        <v>EM00015554</v>
      </c>
    </row>
    <row r="137" spans="1:37" ht="15" customHeight="1" x14ac:dyDescent="0.25">
      <c r="A137" s="75" t="str">
        <f>_xlfn.XLOOKUP(C137,[1]Sheet2!$D:$D,[1]Sheet2!$C:$C)</f>
        <v>EM00016493</v>
      </c>
      <c r="B137" s="37">
        <v>1324</v>
      </c>
      <c r="C137" s="51" t="s">
        <v>231</v>
      </c>
      <c r="D137" s="37">
        <v>1</v>
      </c>
      <c r="E137" s="47" t="s">
        <v>205</v>
      </c>
      <c r="F137" s="48">
        <v>46266</v>
      </c>
      <c r="G137" s="48">
        <v>46295</v>
      </c>
      <c r="H137" s="37" t="s">
        <v>707</v>
      </c>
      <c r="I137" s="51" t="s">
        <v>231</v>
      </c>
      <c r="J137" s="51" t="s">
        <v>263</v>
      </c>
      <c r="K137" s="51" t="s">
        <v>236</v>
      </c>
      <c r="L137" s="37"/>
      <c r="M137" s="37"/>
      <c r="N137" s="37" t="s">
        <v>268</v>
      </c>
      <c r="O137" s="37" t="s">
        <v>275</v>
      </c>
      <c r="P137" s="37" t="s">
        <v>31</v>
      </c>
      <c r="Q137" s="37"/>
      <c r="R137" s="37" t="s">
        <v>31</v>
      </c>
      <c r="S137" s="37"/>
      <c r="T137" s="37" t="s">
        <v>204</v>
      </c>
      <c r="U137" s="37" t="s">
        <v>350</v>
      </c>
      <c r="V137" s="50" t="s">
        <v>31</v>
      </c>
      <c r="W137" s="37"/>
      <c r="X137" s="37" t="s">
        <v>31</v>
      </c>
      <c r="Y137" s="37"/>
      <c r="Z137" s="37" t="s">
        <v>31</v>
      </c>
      <c r="AA137" s="37"/>
      <c r="AB137" s="37" t="s">
        <v>31</v>
      </c>
      <c r="AC137" s="37"/>
      <c r="AD137" s="37" t="s">
        <v>31</v>
      </c>
      <c r="AE137" s="37"/>
      <c r="AH137" s="17"/>
      <c r="AI137" s="17" t="b">
        <f t="shared" si="9"/>
        <v>1</v>
      </c>
      <c r="AJ137" s="17" t="b">
        <f t="shared" si="10"/>
        <v>1</v>
      </c>
      <c r="AK137" s="17" t="str">
        <f t="shared" si="11"/>
        <v>EM00011191</v>
      </c>
    </row>
    <row r="138" spans="1:37" ht="15" customHeight="1" x14ac:dyDescent="0.25">
      <c r="A138" s="75" t="str">
        <f>_xlfn.XLOOKUP(C138,[1]Sheet2!$D:$D,[1]Sheet2!$C:$C)</f>
        <v>EM00000000</v>
      </c>
      <c r="B138" s="37">
        <v>1324</v>
      </c>
      <c r="C138" s="51" t="s">
        <v>232</v>
      </c>
      <c r="D138" s="37">
        <v>1</v>
      </c>
      <c r="E138" s="47" t="s">
        <v>205</v>
      </c>
      <c r="F138" s="48">
        <v>46266</v>
      </c>
      <c r="G138" s="48">
        <v>46295</v>
      </c>
      <c r="H138" s="37" t="s">
        <v>31</v>
      </c>
      <c r="I138" s="51" t="s">
        <v>232</v>
      </c>
      <c r="J138" s="51" t="s">
        <v>263</v>
      </c>
      <c r="K138" s="51" t="s">
        <v>236</v>
      </c>
      <c r="L138" s="37"/>
      <c r="M138" s="37"/>
      <c r="N138" s="37" t="s">
        <v>268</v>
      </c>
      <c r="O138" s="37" t="s">
        <v>275</v>
      </c>
      <c r="P138" s="37" t="s">
        <v>31</v>
      </c>
      <c r="Q138" s="37"/>
      <c r="R138" s="37" t="s">
        <v>31</v>
      </c>
      <c r="S138" s="37"/>
      <c r="T138" s="37" t="s">
        <v>204</v>
      </c>
      <c r="U138" s="37" t="s">
        <v>350</v>
      </c>
      <c r="V138" s="50" t="s">
        <v>31</v>
      </c>
      <c r="W138" s="37"/>
      <c r="X138" s="37" t="s">
        <v>31</v>
      </c>
      <c r="Y138" s="37"/>
      <c r="Z138" s="37" t="s">
        <v>31</v>
      </c>
      <c r="AA138" s="37"/>
      <c r="AB138" s="37" t="s">
        <v>31</v>
      </c>
      <c r="AC138" s="37"/>
      <c r="AD138" s="37" t="s">
        <v>31</v>
      </c>
      <c r="AE138" s="37"/>
      <c r="AH138" s="17"/>
      <c r="AI138" s="17" t="b">
        <f t="shared" si="9"/>
        <v>1</v>
      </c>
      <c r="AJ138" s="17" t="b">
        <f t="shared" si="10"/>
        <v>1</v>
      </c>
      <c r="AK138" s="17" t="str">
        <f t="shared" si="11"/>
        <v>EM00011191</v>
      </c>
    </row>
    <row r="139" spans="1:37" ht="15" customHeight="1" x14ac:dyDescent="0.25">
      <c r="A139" s="75" t="str">
        <f>_xlfn.XLOOKUP(C139,[1]Sheet2!$D:$D,[1]Sheet2!$C:$C)</f>
        <v>EM00015591</v>
      </c>
      <c r="B139" s="37">
        <v>1324</v>
      </c>
      <c r="C139" s="51" t="s">
        <v>233</v>
      </c>
      <c r="D139" s="37">
        <v>1</v>
      </c>
      <c r="E139" s="47" t="s">
        <v>205</v>
      </c>
      <c r="F139" s="48">
        <v>46266</v>
      </c>
      <c r="G139" s="48">
        <v>46295</v>
      </c>
      <c r="H139" s="37" t="s">
        <v>262</v>
      </c>
      <c r="I139" s="51" t="s">
        <v>233</v>
      </c>
      <c r="J139" s="51" t="s">
        <v>263</v>
      </c>
      <c r="K139" s="51" t="s">
        <v>236</v>
      </c>
      <c r="L139" s="37"/>
      <c r="M139" s="37"/>
      <c r="N139" s="37" t="s">
        <v>268</v>
      </c>
      <c r="O139" s="37" t="s">
        <v>275</v>
      </c>
      <c r="P139" s="37" t="s">
        <v>31</v>
      </c>
      <c r="Q139" s="37"/>
      <c r="R139" s="37" t="s">
        <v>31</v>
      </c>
      <c r="S139" s="37"/>
      <c r="T139" s="37" t="s">
        <v>204</v>
      </c>
      <c r="U139" s="37" t="s">
        <v>350</v>
      </c>
      <c r="V139" s="50" t="s">
        <v>31</v>
      </c>
      <c r="W139" s="37"/>
      <c r="X139" s="37" t="s">
        <v>31</v>
      </c>
      <c r="Y139" s="37"/>
      <c r="Z139" s="37" t="s">
        <v>31</v>
      </c>
      <c r="AA139" s="37"/>
      <c r="AB139" s="37" t="s">
        <v>31</v>
      </c>
      <c r="AC139" s="37"/>
      <c r="AD139" s="37" t="s">
        <v>31</v>
      </c>
      <c r="AE139" s="37"/>
      <c r="AH139" s="17"/>
      <c r="AI139" s="17" t="b">
        <f t="shared" si="9"/>
        <v>1</v>
      </c>
      <c r="AJ139" s="17" t="b">
        <f t="shared" si="10"/>
        <v>1</v>
      </c>
      <c r="AK139" s="17" t="str">
        <f t="shared" si="11"/>
        <v>EM00011191</v>
      </c>
    </row>
    <row r="140" spans="1:37" ht="15" customHeight="1" x14ac:dyDescent="0.25">
      <c r="A140" s="75" t="str">
        <f>_xlfn.XLOOKUP(C140,[1]Sheet2!$D:$D,[1]Sheet2!$C:$C)</f>
        <v>EM00016059</v>
      </c>
      <c r="B140" s="37">
        <v>1324</v>
      </c>
      <c r="C140" s="51" t="s">
        <v>234</v>
      </c>
      <c r="D140" s="37">
        <v>1</v>
      </c>
      <c r="E140" s="47" t="s">
        <v>205</v>
      </c>
      <c r="F140" s="48">
        <v>46266</v>
      </c>
      <c r="G140" s="48">
        <v>46295</v>
      </c>
      <c r="H140" s="37" t="s">
        <v>313</v>
      </c>
      <c r="I140" s="51" t="s">
        <v>234</v>
      </c>
      <c r="J140" s="51" t="s">
        <v>263</v>
      </c>
      <c r="K140" s="51" t="s">
        <v>236</v>
      </c>
      <c r="L140" s="37"/>
      <c r="M140" s="37"/>
      <c r="N140" s="37" t="s">
        <v>268</v>
      </c>
      <c r="O140" s="37" t="s">
        <v>275</v>
      </c>
      <c r="P140" s="37" t="s">
        <v>31</v>
      </c>
      <c r="Q140" s="37"/>
      <c r="R140" s="37" t="s">
        <v>31</v>
      </c>
      <c r="S140" s="37"/>
      <c r="T140" s="37" t="s">
        <v>204</v>
      </c>
      <c r="U140" s="37" t="s">
        <v>350</v>
      </c>
      <c r="V140" s="50" t="s">
        <v>31</v>
      </c>
      <c r="W140" s="37"/>
      <c r="X140" s="37" t="s">
        <v>31</v>
      </c>
      <c r="Y140" s="37"/>
      <c r="Z140" s="37" t="s">
        <v>31</v>
      </c>
      <c r="AA140" s="37"/>
      <c r="AB140" s="37" t="s">
        <v>31</v>
      </c>
      <c r="AC140" s="37"/>
      <c r="AD140" s="37" t="s">
        <v>31</v>
      </c>
      <c r="AE140" s="37"/>
      <c r="AH140" s="17"/>
      <c r="AI140" s="17" t="b">
        <f t="shared" si="9"/>
        <v>1</v>
      </c>
      <c r="AJ140" s="17" t="b">
        <f t="shared" si="10"/>
        <v>1</v>
      </c>
      <c r="AK140" s="17" t="str">
        <f t="shared" si="11"/>
        <v>EM00011191</v>
      </c>
    </row>
    <row r="141" spans="1:37" ht="15" customHeight="1" x14ac:dyDescent="0.25">
      <c r="A141" s="75" t="str">
        <f>_xlfn.XLOOKUP(C141,[1]Sheet2!$D:$D,[1]Sheet2!$C:$C)</f>
        <v>EM00016051</v>
      </c>
      <c r="B141" s="37">
        <v>1324</v>
      </c>
      <c r="C141" s="51" t="s">
        <v>235</v>
      </c>
      <c r="D141" s="37">
        <v>1</v>
      </c>
      <c r="E141" s="47" t="s">
        <v>205</v>
      </c>
      <c r="F141" s="48">
        <v>46266</v>
      </c>
      <c r="G141" s="48">
        <v>46295</v>
      </c>
      <c r="H141" s="37" t="s">
        <v>314</v>
      </c>
      <c r="I141" s="51" t="s">
        <v>235</v>
      </c>
      <c r="J141" s="51" t="s">
        <v>263</v>
      </c>
      <c r="K141" s="51" t="s">
        <v>236</v>
      </c>
      <c r="L141" s="37"/>
      <c r="M141" s="37"/>
      <c r="N141" s="37" t="s">
        <v>268</v>
      </c>
      <c r="O141" s="37" t="s">
        <v>275</v>
      </c>
      <c r="P141" s="37" t="s">
        <v>31</v>
      </c>
      <c r="Q141" s="37"/>
      <c r="R141" s="37" t="s">
        <v>31</v>
      </c>
      <c r="S141" s="37"/>
      <c r="T141" s="37" t="s">
        <v>204</v>
      </c>
      <c r="U141" s="37" t="s">
        <v>350</v>
      </c>
      <c r="V141" s="50" t="s">
        <v>31</v>
      </c>
      <c r="W141" s="37"/>
      <c r="X141" s="37" t="s">
        <v>31</v>
      </c>
      <c r="Y141" s="37"/>
      <c r="Z141" s="37" t="s">
        <v>31</v>
      </c>
      <c r="AA141" s="37"/>
      <c r="AB141" s="37" t="s">
        <v>31</v>
      </c>
      <c r="AC141" s="37"/>
      <c r="AD141" s="37" t="s">
        <v>31</v>
      </c>
      <c r="AE141" s="37"/>
      <c r="AH141" s="17"/>
      <c r="AI141" s="17" t="b">
        <f t="shared" si="9"/>
        <v>1</v>
      </c>
      <c r="AJ141" s="17" t="b">
        <f t="shared" si="10"/>
        <v>1</v>
      </c>
      <c r="AK141" s="17" t="str">
        <f t="shared" si="11"/>
        <v>EM00011191</v>
      </c>
    </row>
    <row r="142" spans="1:37" ht="15" customHeight="1" x14ac:dyDescent="0.25">
      <c r="A142" s="75" t="str">
        <f>_xlfn.XLOOKUP(C142,[1]Sheet2!$D:$D,[1]Sheet2!$C:$C)</f>
        <v>EM00011191</v>
      </c>
      <c r="B142" s="37">
        <v>1324</v>
      </c>
      <c r="C142" s="51" t="s">
        <v>236</v>
      </c>
      <c r="D142" s="37">
        <v>2</v>
      </c>
      <c r="E142" s="47" t="s">
        <v>205</v>
      </c>
      <c r="F142" s="48">
        <v>46266</v>
      </c>
      <c r="G142" s="48">
        <v>46295</v>
      </c>
      <c r="H142" s="37"/>
      <c r="I142" s="37"/>
      <c r="J142" s="51" t="s">
        <v>263</v>
      </c>
      <c r="K142" s="51" t="s">
        <v>236</v>
      </c>
      <c r="L142" s="37"/>
      <c r="M142" s="37"/>
      <c r="N142" s="37" t="s">
        <v>268</v>
      </c>
      <c r="O142" s="37" t="s">
        <v>275</v>
      </c>
      <c r="P142" s="37" t="s">
        <v>31</v>
      </c>
      <c r="Q142" s="37"/>
      <c r="R142" s="37" t="s">
        <v>31</v>
      </c>
      <c r="S142" s="37"/>
      <c r="T142" s="37" t="s">
        <v>204</v>
      </c>
      <c r="U142" s="37" t="s">
        <v>350</v>
      </c>
      <c r="V142" s="50" t="s">
        <v>31</v>
      </c>
      <c r="W142" s="37"/>
      <c r="X142" s="37" t="s">
        <v>31</v>
      </c>
      <c r="Y142" s="37"/>
      <c r="Z142" s="37" t="s">
        <v>31</v>
      </c>
      <c r="AA142" s="37"/>
      <c r="AB142" s="37" t="s">
        <v>31</v>
      </c>
      <c r="AC142" s="37"/>
      <c r="AD142" s="37" t="s">
        <v>31</v>
      </c>
      <c r="AE142" s="37"/>
      <c r="AH142" s="17"/>
      <c r="AI142" s="17" t="b">
        <f t="shared" si="9"/>
        <v>1</v>
      </c>
      <c r="AJ142" s="17" t="b">
        <f t="shared" si="10"/>
        <v>1</v>
      </c>
      <c r="AK142" s="17" t="str">
        <f t="shared" si="11"/>
        <v>EM00015554</v>
      </c>
    </row>
    <row r="143" spans="1:37" ht="15" customHeight="1" x14ac:dyDescent="0.25">
      <c r="A143" s="75" t="str">
        <f>_xlfn.XLOOKUP(C143,[1]Sheet2!$D:$D,[1]Sheet2!$C:$C)</f>
        <v>EM00015623</v>
      </c>
      <c r="B143" s="37">
        <v>1324</v>
      </c>
      <c r="C143" s="51" t="s">
        <v>237</v>
      </c>
      <c r="D143" s="37">
        <v>1</v>
      </c>
      <c r="E143" s="47" t="s">
        <v>205</v>
      </c>
      <c r="F143" s="48">
        <v>46266</v>
      </c>
      <c r="G143" s="48">
        <v>46295</v>
      </c>
      <c r="H143" s="37" t="s">
        <v>264</v>
      </c>
      <c r="I143" s="51" t="s">
        <v>237</v>
      </c>
      <c r="J143" s="51" t="s">
        <v>474</v>
      </c>
      <c r="K143" s="51" t="s">
        <v>241</v>
      </c>
      <c r="L143" s="37"/>
      <c r="M143" s="37"/>
      <c r="N143" s="37" t="s">
        <v>268</v>
      </c>
      <c r="O143" s="37" t="s">
        <v>275</v>
      </c>
      <c r="P143" s="37" t="s">
        <v>31</v>
      </c>
      <c r="Q143" s="37"/>
      <c r="R143" s="37" t="s">
        <v>31</v>
      </c>
      <c r="S143" s="37"/>
      <c r="T143" s="37" t="s">
        <v>204</v>
      </c>
      <c r="U143" s="37" t="s">
        <v>350</v>
      </c>
      <c r="V143" s="50" t="s">
        <v>31</v>
      </c>
      <c r="W143" s="37"/>
      <c r="X143" s="37" t="s">
        <v>31</v>
      </c>
      <c r="Y143" s="37"/>
      <c r="Z143" s="37" t="s">
        <v>31</v>
      </c>
      <c r="AA143" s="37"/>
      <c r="AB143" s="37" t="s">
        <v>31</v>
      </c>
      <c r="AC143" s="37"/>
      <c r="AD143" s="37" t="s">
        <v>31</v>
      </c>
      <c r="AE143" s="37"/>
      <c r="AH143" s="17"/>
      <c r="AI143" s="17" t="b">
        <f t="shared" si="9"/>
        <v>1</v>
      </c>
      <c r="AJ143" s="17" t="b">
        <f t="shared" si="10"/>
        <v>1</v>
      </c>
      <c r="AK143" s="17" t="str">
        <f t="shared" si="11"/>
        <v>EM00016291</v>
      </c>
    </row>
    <row r="144" spans="1:37" ht="15" customHeight="1" x14ac:dyDescent="0.25">
      <c r="A144" s="75" t="str">
        <f>_xlfn.XLOOKUP(C144,[1]Sheet2!$D:$D,[1]Sheet2!$C:$C)</f>
        <v>EM00016023</v>
      </c>
      <c r="B144" s="37">
        <v>1324</v>
      </c>
      <c r="C144" s="51" t="s">
        <v>238</v>
      </c>
      <c r="D144" s="37">
        <v>1</v>
      </c>
      <c r="E144" s="47" t="s">
        <v>205</v>
      </c>
      <c r="F144" s="48">
        <v>46266</v>
      </c>
      <c r="G144" s="48">
        <v>46295</v>
      </c>
      <c r="H144" s="37" t="s">
        <v>315</v>
      </c>
      <c r="I144" s="51" t="s">
        <v>238</v>
      </c>
      <c r="J144" s="51" t="s">
        <v>474</v>
      </c>
      <c r="K144" s="51" t="s">
        <v>241</v>
      </c>
      <c r="L144" s="37"/>
      <c r="M144" s="37"/>
      <c r="N144" s="37" t="s">
        <v>268</v>
      </c>
      <c r="O144" s="37" t="s">
        <v>275</v>
      </c>
      <c r="P144" s="37" t="s">
        <v>31</v>
      </c>
      <c r="Q144" s="37"/>
      <c r="R144" s="37" t="s">
        <v>31</v>
      </c>
      <c r="S144" s="37"/>
      <c r="T144" s="37" t="s">
        <v>204</v>
      </c>
      <c r="U144" s="37" t="s">
        <v>350</v>
      </c>
      <c r="V144" s="50" t="s">
        <v>31</v>
      </c>
      <c r="W144" s="37"/>
      <c r="X144" s="37" t="s">
        <v>31</v>
      </c>
      <c r="Y144" s="37"/>
      <c r="Z144" s="37" t="s">
        <v>31</v>
      </c>
      <c r="AA144" s="37"/>
      <c r="AB144" s="37" t="s">
        <v>31</v>
      </c>
      <c r="AC144" s="37"/>
      <c r="AD144" s="37" t="s">
        <v>31</v>
      </c>
      <c r="AE144" s="37"/>
      <c r="AH144" s="17"/>
      <c r="AI144" s="17" t="b">
        <f t="shared" si="9"/>
        <v>1</v>
      </c>
      <c r="AJ144" s="17" t="b">
        <f t="shared" si="10"/>
        <v>1</v>
      </c>
      <c r="AK144" s="17" t="str">
        <f t="shared" si="11"/>
        <v>EM00016291</v>
      </c>
    </row>
    <row r="145" spans="1:37" ht="15" customHeight="1" x14ac:dyDescent="0.25">
      <c r="A145" s="75" t="str">
        <f>_xlfn.XLOOKUP(C145,[1]Sheet2!$D:$D,[1]Sheet2!$C:$C)</f>
        <v>EM00015599</v>
      </c>
      <c r="B145" s="37">
        <v>1324</v>
      </c>
      <c r="C145" s="51" t="s">
        <v>239</v>
      </c>
      <c r="D145" s="37">
        <v>1</v>
      </c>
      <c r="E145" s="47" t="s">
        <v>205</v>
      </c>
      <c r="F145" s="48">
        <v>46266</v>
      </c>
      <c r="G145" s="48">
        <v>46295</v>
      </c>
      <c r="H145" s="37" t="s">
        <v>265</v>
      </c>
      <c r="I145" s="51" t="s">
        <v>239</v>
      </c>
      <c r="J145" s="51" t="s">
        <v>474</v>
      </c>
      <c r="K145" s="51" t="s">
        <v>241</v>
      </c>
      <c r="L145" s="37"/>
      <c r="M145" s="37"/>
      <c r="N145" s="37" t="s">
        <v>268</v>
      </c>
      <c r="O145" s="37" t="s">
        <v>275</v>
      </c>
      <c r="P145" s="37" t="s">
        <v>31</v>
      </c>
      <c r="Q145" s="37"/>
      <c r="R145" s="37" t="s">
        <v>31</v>
      </c>
      <c r="S145" s="37"/>
      <c r="T145" s="37" t="s">
        <v>204</v>
      </c>
      <c r="U145" s="37" t="s">
        <v>350</v>
      </c>
      <c r="V145" s="50" t="s">
        <v>31</v>
      </c>
      <c r="W145" s="37"/>
      <c r="X145" s="37" t="s">
        <v>31</v>
      </c>
      <c r="Y145" s="37"/>
      <c r="Z145" s="37" t="s">
        <v>31</v>
      </c>
      <c r="AA145" s="37"/>
      <c r="AB145" s="37" t="s">
        <v>31</v>
      </c>
      <c r="AC145" s="37"/>
      <c r="AD145" s="37" t="s">
        <v>31</v>
      </c>
      <c r="AE145" s="37"/>
      <c r="AH145" s="17"/>
      <c r="AI145" s="17" t="b">
        <f t="shared" si="9"/>
        <v>1</v>
      </c>
      <c r="AJ145" s="17" t="b">
        <f t="shared" si="10"/>
        <v>1</v>
      </c>
      <c r="AK145" s="17" t="str">
        <f t="shared" si="11"/>
        <v>EM00016291</v>
      </c>
    </row>
    <row r="146" spans="1:37" ht="15" customHeight="1" x14ac:dyDescent="0.25">
      <c r="A146" s="75" t="str">
        <f>_xlfn.XLOOKUP(C146,[1]Sheet2!$D:$D,[1]Sheet2!$C:$C)</f>
        <v>EM00016025</v>
      </c>
      <c r="B146" s="37">
        <v>1324</v>
      </c>
      <c r="C146" s="51" t="s">
        <v>240</v>
      </c>
      <c r="D146" s="37">
        <v>1</v>
      </c>
      <c r="E146" s="47" t="s">
        <v>205</v>
      </c>
      <c r="F146" s="48">
        <v>46266</v>
      </c>
      <c r="G146" s="48">
        <v>46295</v>
      </c>
      <c r="H146" s="37" t="s">
        <v>316</v>
      </c>
      <c r="I146" s="51" t="s">
        <v>240</v>
      </c>
      <c r="J146" s="51" t="s">
        <v>474</v>
      </c>
      <c r="K146" s="51" t="s">
        <v>241</v>
      </c>
      <c r="L146" s="37"/>
      <c r="M146" s="37"/>
      <c r="N146" s="37" t="s">
        <v>268</v>
      </c>
      <c r="O146" s="37" t="s">
        <v>275</v>
      </c>
      <c r="P146" s="37" t="s">
        <v>31</v>
      </c>
      <c r="Q146" s="37"/>
      <c r="R146" s="37" t="s">
        <v>31</v>
      </c>
      <c r="S146" s="37"/>
      <c r="T146" s="37" t="s">
        <v>204</v>
      </c>
      <c r="U146" s="37" t="s">
        <v>350</v>
      </c>
      <c r="V146" s="50" t="s">
        <v>31</v>
      </c>
      <c r="W146" s="37"/>
      <c r="X146" s="37" t="s">
        <v>31</v>
      </c>
      <c r="Y146" s="37"/>
      <c r="Z146" s="37" t="s">
        <v>31</v>
      </c>
      <c r="AA146" s="37"/>
      <c r="AB146" s="37" t="s">
        <v>31</v>
      </c>
      <c r="AC146" s="37"/>
      <c r="AD146" s="37" t="s">
        <v>31</v>
      </c>
      <c r="AE146" s="37"/>
      <c r="AH146" s="17"/>
      <c r="AI146" s="17" t="b">
        <f t="shared" si="9"/>
        <v>1</v>
      </c>
      <c r="AJ146" s="17" t="b">
        <f t="shared" si="10"/>
        <v>1</v>
      </c>
      <c r="AK146" s="17" t="str">
        <f t="shared" si="11"/>
        <v>EM00016291</v>
      </c>
    </row>
    <row r="147" spans="1:37" ht="15" customHeight="1" x14ac:dyDescent="0.25">
      <c r="A147" s="75" t="str">
        <f>_xlfn.XLOOKUP(C147,[1]Sheet2!$D:$D,[1]Sheet2!$C:$C)</f>
        <v>EM00016291</v>
      </c>
      <c r="B147" s="37">
        <v>1324</v>
      </c>
      <c r="C147" s="51" t="s">
        <v>241</v>
      </c>
      <c r="D147" s="37">
        <v>2</v>
      </c>
      <c r="E147" s="47" t="s">
        <v>205</v>
      </c>
      <c r="F147" s="48">
        <v>46266</v>
      </c>
      <c r="G147" s="48">
        <v>46295</v>
      </c>
      <c r="H147" s="37"/>
      <c r="I147" s="37"/>
      <c r="J147" s="51" t="s">
        <v>474</v>
      </c>
      <c r="K147" s="51" t="s">
        <v>241</v>
      </c>
      <c r="L147" s="37"/>
      <c r="M147" s="37"/>
      <c r="N147" s="37" t="s">
        <v>268</v>
      </c>
      <c r="O147" s="37" t="s">
        <v>275</v>
      </c>
      <c r="P147" s="37" t="s">
        <v>31</v>
      </c>
      <c r="Q147" s="37"/>
      <c r="R147" s="37" t="s">
        <v>31</v>
      </c>
      <c r="S147" s="37"/>
      <c r="T147" s="37" t="s">
        <v>204</v>
      </c>
      <c r="U147" s="37" t="s">
        <v>350</v>
      </c>
      <c r="V147" s="50" t="s">
        <v>31</v>
      </c>
      <c r="W147" s="37"/>
      <c r="X147" s="37" t="s">
        <v>31</v>
      </c>
      <c r="Y147" s="37"/>
      <c r="Z147" s="37" t="s">
        <v>31</v>
      </c>
      <c r="AA147" s="37"/>
      <c r="AB147" s="37" t="s">
        <v>31</v>
      </c>
      <c r="AC147" s="37"/>
      <c r="AD147" s="37" t="s">
        <v>31</v>
      </c>
      <c r="AE147" s="37"/>
      <c r="AH147" s="17"/>
      <c r="AI147" s="17" t="b">
        <f t="shared" si="9"/>
        <v>1</v>
      </c>
      <c r="AJ147" s="17" t="b">
        <f t="shared" si="10"/>
        <v>1</v>
      </c>
      <c r="AK147" s="17" t="str">
        <f t="shared" si="11"/>
        <v>EM00015554</v>
      </c>
    </row>
    <row r="148" spans="1:37" ht="15" customHeight="1" x14ac:dyDescent="0.25">
      <c r="A148" s="75" t="str">
        <f>_xlfn.XLOOKUP(C148,[1]Sheet2!$D:$D,[1]Sheet2!$C:$C)</f>
        <v>EM00016478</v>
      </c>
      <c r="B148" s="37">
        <v>1324</v>
      </c>
      <c r="C148" s="51" t="s">
        <v>242</v>
      </c>
      <c r="D148" s="37">
        <v>1</v>
      </c>
      <c r="E148" s="47" t="s">
        <v>205</v>
      </c>
      <c r="F148" s="48">
        <v>46266</v>
      </c>
      <c r="G148" s="48">
        <v>46295</v>
      </c>
      <c r="H148" s="37" t="s">
        <v>708</v>
      </c>
      <c r="I148" s="51" t="s">
        <v>242</v>
      </c>
      <c r="J148" s="51" t="s">
        <v>31</v>
      </c>
      <c r="K148" s="51" t="s">
        <v>246</v>
      </c>
      <c r="L148" s="37"/>
      <c r="M148" s="37"/>
      <c r="N148" s="37" t="s">
        <v>268</v>
      </c>
      <c r="O148" s="37" t="s">
        <v>275</v>
      </c>
      <c r="P148" s="37" t="s">
        <v>31</v>
      </c>
      <c r="Q148" s="37"/>
      <c r="R148" s="37" t="s">
        <v>31</v>
      </c>
      <c r="S148" s="37"/>
      <c r="T148" s="37" t="s">
        <v>204</v>
      </c>
      <c r="U148" s="37" t="s">
        <v>350</v>
      </c>
      <c r="V148" s="50" t="s">
        <v>31</v>
      </c>
      <c r="W148" s="37"/>
      <c r="X148" s="37" t="s">
        <v>31</v>
      </c>
      <c r="Y148" s="37"/>
      <c r="Z148" s="37" t="s">
        <v>31</v>
      </c>
      <c r="AA148" s="37"/>
      <c r="AB148" s="37" t="s">
        <v>31</v>
      </c>
      <c r="AC148" s="37"/>
      <c r="AD148" s="37" t="s">
        <v>31</v>
      </c>
      <c r="AE148" s="37"/>
      <c r="AH148" s="17"/>
      <c r="AI148" s="17" t="b">
        <f t="shared" si="9"/>
        <v>1</v>
      </c>
      <c r="AJ148" s="17" t="b">
        <f t="shared" si="10"/>
        <v>1</v>
      </c>
      <c r="AK148" s="17" t="str">
        <f t="shared" si="11"/>
        <v>EM00000000</v>
      </c>
    </row>
    <row r="149" spans="1:37" ht="15" customHeight="1" x14ac:dyDescent="0.25">
      <c r="A149" s="75" t="str">
        <f>_xlfn.XLOOKUP(C149,[1]Sheet2!$D:$D,[1]Sheet2!$C:$C)</f>
        <v>EM00016029</v>
      </c>
      <c r="B149" s="37">
        <v>1324</v>
      </c>
      <c r="C149" s="51" t="s">
        <v>243</v>
      </c>
      <c r="D149" s="37">
        <v>1</v>
      </c>
      <c r="E149" s="47" t="s">
        <v>205</v>
      </c>
      <c r="F149" s="48">
        <v>46266</v>
      </c>
      <c r="G149" s="48">
        <v>46295</v>
      </c>
      <c r="H149" s="37" t="s">
        <v>317</v>
      </c>
      <c r="I149" s="51" t="s">
        <v>243</v>
      </c>
      <c r="J149" s="51" t="s">
        <v>31</v>
      </c>
      <c r="K149" s="51" t="s">
        <v>246</v>
      </c>
      <c r="L149" s="37"/>
      <c r="M149" s="37"/>
      <c r="N149" s="37" t="s">
        <v>268</v>
      </c>
      <c r="O149" s="37" t="s">
        <v>275</v>
      </c>
      <c r="P149" s="37" t="s">
        <v>31</v>
      </c>
      <c r="Q149" s="37"/>
      <c r="R149" s="37" t="s">
        <v>31</v>
      </c>
      <c r="S149" s="37"/>
      <c r="T149" s="37" t="s">
        <v>204</v>
      </c>
      <c r="U149" s="37" t="s">
        <v>350</v>
      </c>
      <c r="V149" s="50" t="s">
        <v>31</v>
      </c>
      <c r="W149" s="37"/>
      <c r="X149" s="37" t="s">
        <v>31</v>
      </c>
      <c r="Y149" s="37"/>
      <c r="Z149" s="37" t="s">
        <v>31</v>
      </c>
      <c r="AA149" s="37"/>
      <c r="AB149" s="37" t="s">
        <v>31</v>
      </c>
      <c r="AC149" s="37"/>
      <c r="AD149" s="37" t="s">
        <v>31</v>
      </c>
      <c r="AE149" s="37"/>
      <c r="AH149" s="17"/>
      <c r="AI149" s="17" t="b">
        <f t="shared" si="9"/>
        <v>1</v>
      </c>
      <c r="AJ149" s="17" t="b">
        <f t="shared" si="10"/>
        <v>1</v>
      </c>
      <c r="AK149" s="17" t="str">
        <f t="shared" si="11"/>
        <v>EM00000000</v>
      </c>
    </row>
    <row r="150" spans="1:37" ht="15" customHeight="1" x14ac:dyDescent="0.25">
      <c r="A150" s="75" t="str">
        <f>_xlfn.XLOOKUP(C150,[1]Sheet2!$D:$D,[1]Sheet2!$C:$C)</f>
        <v>EM00016030</v>
      </c>
      <c r="B150" s="37">
        <v>1325</v>
      </c>
      <c r="C150" s="51" t="s">
        <v>244</v>
      </c>
      <c r="D150" s="37">
        <v>1</v>
      </c>
      <c r="E150" s="47" t="s">
        <v>205</v>
      </c>
      <c r="F150" s="48">
        <v>46266</v>
      </c>
      <c r="G150" s="48">
        <v>46295</v>
      </c>
      <c r="H150" s="37" t="s">
        <v>318</v>
      </c>
      <c r="I150" s="51" t="s">
        <v>244</v>
      </c>
      <c r="J150" s="51" t="s">
        <v>31</v>
      </c>
      <c r="K150" s="51" t="s">
        <v>246</v>
      </c>
      <c r="L150" s="37"/>
      <c r="M150" s="37"/>
      <c r="N150" s="37" t="s">
        <v>268</v>
      </c>
      <c r="O150" s="37" t="s">
        <v>275</v>
      </c>
      <c r="P150" s="37" t="s">
        <v>31</v>
      </c>
      <c r="Q150" s="37"/>
      <c r="R150" s="37" t="s">
        <v>31</v>
      </c>
      <c r="S150" s="37"/>
      <c r="T150" s="37" t="s">
        <v>204</v>
      </c>
      <c r="U150" s="37" t="s">
        <v>350</v>
      </c>
      <c r="V150" s="50" t="s">
        <v>31</v>
      </c>
      <c r="W150" s="37"/>
      <c r="X150" s="37" t="s">
        <v>31</v>
      </c>
      <c r="Y150" s="37"/>
      <c r="Z150" s="37" t="s">
        <v>31</v>
      </c>
      <c r="AA150" s="37"/>
      <c r="AB150" s="37" t="s">
        <v>31</v>
      </c>
      <c r="AC150" s="37"/>
      <c r="AD150" s="37" t="s">
        <v>31</v>
      </c>
      <c r="AE150" s="37"/>
      <c r="AH150" s="17"/>
      <c r="AI150" s="17" t="b">
        <f t="shared" si="9"/>
        <v>1</v>
      </c>
      <c r="AJ150" s="17" t="b">
        <f t="shared" si="10"/>
        <v>1</v>
      </c>
      <c r="AK150" s="17" t="str">
        <f t="shared" si="11"/>
        <v>EM00000000</v>
      </c>
    </row>
    <row r="151" spans="1:37" ht="15" customHeight="1" x14ac:dyDescent="0.25">
      <c r="A151" s="75" t="str">
        <f>_xlfn.XLOOKUP(C151,[1]Sheet2!$D:$D,[1]Sheet2!$C:$C)</f>
        <v>EM00016048</v>
      </c>
      <c r="B151" s="37">
        <v>1325</v>
      </c>
      <c r="C151" s="51" t="s">
        <v>245</v>
      </c>
      <c r="D151" s="37">
        <v>1</v>
      </c>
      <c r="E151" s="47" t="s">
        <v>205</v>
      </c>
      <c r="F151" s="48">
        <v>46266</v>
      </c>
      <c r="G151" s="48">
        <v>46295</v>
      </c>
      <c r="H151" s="37" t="s">
        <v>319</v>
      </c>
      <c r="I151" s="51" t="s">
        <v>245</v>
      </c>
      <c r="J151" s="51" t="s">
        <v>31</v>
      </c>
      <c r="K151" s="51" t="s">
        <v>246</v>
      </c>
      <c r="L151" s="37"/>
      <c r="M151" s="37"/>
      <c r="N151" s="37" t="s">
        <v>268</v>
      </c>
      <c r="O151" s="37" t="s">
        <v>275</v>
      </c>
      <c r="P151" s="37" t="s">
        <v>31</v>
      </c>
      <c r="Q151" s="37"/>
      <c r="R151" s="37" t="s">
        <v>31</v>
      </c>
      <c r="S151" s="37"/>
      <c r="T151" s="37" t="s">
        <v>204</v>
      </c>
      <c r="U151" s="37" t="s">
        <v>350</v>
      </c>
      <c r="V151" s="50" t="s">
        <v>31</v>
      </c>
      <c r="W151" s="37"/>
      <c r="X151" s="37" t="s">
        <v>31</v>
      </c>
      <c r="Y151" s="37"/>
      <c r="Z151" s="37" t="s">
        <v>31</v>
      </c>
      <c r="AA151" s="37"/>
      <c r="AB151" s="37" t="s">
        <v>31</v>
      </c>
      <c r="AC151" s="37"/>
      <c r="AD151" s="37" t="s">
        <v>31</v>
      </c>
      <c r="AE151" s="37"/>
      <c r="AH151" s="17"/>
      <c r="AI151" s="17" t="b">
        <f t="shared" si="9"/>
        <v>1</v>
      </c>
      <c r="AJ151" s="17" t="b">
        <f t="shared" si="10"/>
        <v>1</v>
      </c>
      <c r="AK151" s="17" t="str">
        <f t="shared" si="11"/>
        <v>EM00000000</v>
      </c>
    </row>
    <row r="152" spans="1:37" ht="15" customHeight="1" x14ac:dyDescent="0.25">
      <c r="A152" s="75" t="str">
        <f>_xlfn.XLOOKUP(C152,[1]Sheet2!$D:$D,[1]Sheet2!$C:$C)</f>
        <v>EM00016031</v>
      </c>
      <c r="B152" s="37">
        <v>1325</v>
      </c>
      <c r="C152" s="51" t="s">
        <v>706</v>
      </c>
      <c r="D152" s="37">
        <v>1</v>
      </c>
      <c r="E152" s="47" t="s">
        <v>205</v>
      </c>
      <c r="F152" s="48">
        <v>46266</v>
      </c>
      <c r="G152" s="48">
        <v>46295</v>
      </c>
      <c r="H152" s="37" t="s">
        <v>311</v>
      </c>
      <c r="I152" s="51" t="s">
        <v>706</v>
      </c>
      <c r="J152" s="51" t="s">
        <v>31</v>
      </c>
      <c r="K152" s="51" t="s">
        <v>246</v>
      </c>
      <c r="L152" s="37"/>
      <c r="M152" s="37"/>
      <c r="N152" s="37" t="s">
        <v>268</v>
      </c>
      <c r="O152" s="37" t="s">
        <v>275</v>
      </c>
      <c r="P152" s="37" t="s">
        <v>31</v>
      </c>
      <c r="Q152" s="37"/>
      <c r="R152" s="37" t="s">
        <v>31</v>
      </c>
      <c r="S152" s="37"/>
      <c r="T152" s="37" t="s">
        <v>204</v>
      </c>
      <c r="U152" s="37" t="s">
        <v>350</v>
      </c>
      <c r="V152" s="50" t="s">
        <v>31</v>
      </c>
      <c r="W152" s="37"/>
      <c r="X152" s="37" t="s">
        <v>31</v>
      </c>
      <c r="Y152" s="37"/>
      <c r="Z152" s="37" t="s">
        <v>31</v>
      </c>
      <c r="AA152" s="37"/>
      <c r="AB152" s="37" t="s">
        <v>31</v>
      </c>
      <c r="AC152" s="37"/>
      <c r="AD152" s="37" t="s">
        <v>31</v>
      </c>
      <c r="AE152" s="37"/>
      <c r="AH152" s="17"/>
      <c r="AI152" s="17" t="b">
        <f t="shared" si="9"/>
        <v>1</v>
      </c>
      <c r="AJ152" s="17" t="b">
        <f t="shared" si="10"/>
        <v>1</v>
      </c>
      <c r="AK152" s="17" t="str">
        <f t="shared" si="11"/>
        <v>EM00000000</v>
      </c>
    </row>
    <row r="153" spans="1:37" ht="15" customHeight="1" x14ac:dyDescent="0.25">
      <c r="A153" s="75" t="str">
        <f>_xlfn.XLOOKUP(C153,[1]Sheet2!$D:$D,[1]Sheet2!$C:$C)</f>
        <v>EM00016463</v>
      </c>
      <c r="B153" s="37">
        <v>1325</v>
      </c>
      <c r="C153" s="51" t="s">
        <v>246</v>
      </c>
      <c r="D153" s="37">
        <v>2</v>
      </c>
      <c r="E153" s="47" t="s">
        <v>205</v>
      </c>
      <c r="F153" s="48">
        <v>46266</v>
      </c>
      <c r="G153" s="48">
        <v>46295</v>
      </c>
      <c r="H153" s="37"/>
      <c r="I153" s="37"/>
      <c r="J153" s="51" t="s">
        <v>938</v>
      </c>
      <c r="K153" s="51" t="s">
        <v>246</v>
      </c>
      <c r="L153" s="37"/>
      <c r="M153" s="37"/>
      <c r="N153" s="37" t="s">
        <v>268</v>
      </c>
      <c r="O153" s="37" t="s">
        <v>275</v>
      </c>
      <c r="P153" s="37" t="s">
        <v>31</v>
      </c>
      <c r="Q153" s="37"/>
      <c r="R153" s="37" t="s">
        <v>31</v>
      </c>
      <c r="S153" s="37"/>
      <c r="T153" s="37" t="s">
        <v>204</v>
      </c>
      <c r="U153" s="37" t="s">
        <v>350</v>
      </c>
      <c r="V153" s="50" t="s">
        <v>31</v>
      </c>
      <c r="W153" s="37"/>
      <c r="X153" s="37" t="s">
        <v>31</v>
      </c>
      <c r="Y153" s="37"/>
      <c r="Z153" s="37" t="s">
        <v>31</v>
      </c>
      <c r="AA153" s="37"/>
      <c r="AB153" s="37" t="s">
        <v>31</v>
      </c>
      <c r="AC153" s="37"/>
      <c r="AD153" s="37" t="s">
        <v>31</v>
      </c>
      <c r="AE153" s="37"/>
      <c r="AH153" s="17"/>
      <c r="AI153" s="17" t="b">
        <f t="shared" si="9"/>
        <v>1</v>
      </c>
      <c r="AJ153" s="17" t="b">
        <f t="shared" si="10"/>
        <v>1</v>
      </c>
      <c r="AK153" s="17" t="str">
        <f t="shared" si="11"/>
        <v>EM00015554</v>
      </c>
    </row>
    <row r="154" spans="1:37" ht="15" customHeight="1" x14ac:dyDescent="0.25">
      <c r="A154" s="75" t="str">
        <f>_xlfn.XLOOKUP(C154,[1]Sheet2!$D:$D,[1]Sheet2!$C:$C)</f>
        <v>EM00016463</v>
      </c>
      <c r="B154" s="37">
        <v>1324</v>
      </c>
      <c r="C154" s="51" t="s">
        <v>246</v>
      </c>
      <c r="D154" s="37">
        <v>2</v>
      </c>
      <c r="E154" s="47" t="s">
        <v>205</v>
      </c>
      <c r="F154" s="48">
        <v>46266</v>
      </c>
      <c r="G154" s="48">
        <v>46295</v>
      </c>
      <c r="H154" s="37"/>
      <c r="I154" s="37"/>
      <c r="J154" s="51" t="s">
        <v>938</v>
      </c>
      <c r="K154" s="51" t="s">
        <v>246</v>
      </c>
      <c r="L154" s="37"/>
      <c r="M154" s="37"/>
      <c r="N154" s="37" t="s">
        <v>268</v>
      </c>
      <c r="O154" s="37" t="s">
        <v>275</v>
      </c>
      <c r="P154" s="37" t="s">
        <v>31</v>
      </c>
      <c r="Q154" s="37"/>
      <c r="R154" s="37" t="s">
        <v>31</v>
      </c>
      <c r="S154" s="37"/>
      <c r="T154" s="37" t="s">
        <v>204</v>
      </c>
      <c r="U154" s="37" t="s">
        <v>350</v>
      </c>
      <c r="V154" s="50" t="s">
        <v>31</v>
      </c>
      <c r="W154" s="37"/>
      <c r="X154" s="37" t="s">
        <v>31</v>
      </c>
      <c r="Y154" s="37"/>
      <c r="Z154" s="37" t="s">
        <v>31</v>
      </c>
      <c r="AA154" s="37"/>
      <c r="AB154" s="37" t="s">
        <v>31</v>
      </c>
      <c r="AC154" s="37"/>
      <c r="AD154" s="37" t="s">
        <v>31</v>
      </c>
      <c r="AE154" s="37"/>
      <c r="AH154" s="17"/>
      <c r="AI154" s="17" t="b">
        <f t="shared" si="9"/>
        <v>1</v>
      </c>
      <c r="AJ154" s="17" t="b">
        <f t="shared" si="10"/>
        <v>1</v>
      </c>
      <c r="AK154" s="17" t="str">
        <f t="shared" si="11"/>
        <v>EM00015554</v>
      </c>
    </row>
    <row r="155" spans="1:37" ht="15" customHeight="1" x14ac:dyDescent="0.25">
      <c r="A155" s="75" t="str">
        <f>_xlfn.XLOOKUP(C155,[1]Sheet2!$D:$D,[1]Sheet2!$C:$C)</f>
        <v>EM00016274</v>
      </c>
      <c r="B155" s="37">
        <v>1327</v>
      </c>
      <c r="C155" s="51" t="s">
        <v>247</v>
      </c>
      <c r="D155" s="37">
        <v>1</v>
      </c>
      <c r="E155" s="47" t="s">
        <v>205</v>
      </c>
      <c r="F155" s="48">
        <v>46266</v>
      </c>
      <c r="G155" s="48">
        <v>46295</v>
      </c>
      <c r="H155" s="37" t="s">
        <v>466</v>
      </c>
      <c r="I155" s="51" t="s">
        <v>247</v>
      </c>
      <c r="J155" s="51" t="s">
        <v>267</v>
      </c>
      <c r="K155" s="51" t="s">
        <v>252</v>
      </c>
      <c r="L155" s="37"/>
      <c r="M155" s="37"/>
      <c r="N155" s="37" t="s">
        <v>268</v>
      </c>
      <c r="O155" s="37" t="s">
        <v>275</v>
      </c>
      <c r="P155" s="37" t="s">
        <v>31</v>
      </c>
      <c r="Q155" s="37"/>
      <c r="R155" s="37" t="s">
        <v>31</v>
      </c>
      <c r="S155" s="37"/>
      <c r="T155" s="37" t="s">
        <v>204</v>
      </c>
      <c r="U155" s="37" t="s">
        <v>350</v>
      </c>
      <c r="V155" s="50" t="s">
        <v>31</v>
      </c>
      <c r="W155" s="37"/>
      <c r="X155" s="37" t="s">
        <v>31</v>
      </c>
      <c r="Y155" s="37"/>
      <c r="Z155" s="37" t="s">
        <v>31</v>
      </c>
      <c r="AA155" s="37"/>
      <c r="AB155" s="37" t="s">
        <v>31</v>
      </c>
      <c r="AC155" s="37"/>
      <c r="AD155" s="37" t="s">
        <v>31</v>
      </c>
      <c r="AE155" s="37"/>
      <c r="AH155" s="17"/>
      <c r="AI155" s="17" t="b">
        <f t="shared" si="9"/>
        <v>1</v>
      </c>
      <c r="AJ155" s="17" t="b">
        <f t="shared" si="10"/>
        <v>1</v>
      </c>
      <c r="AK155" s="17" t="str">
        <f t="shared" si="11"/>
        <v>EM00015658</v>
      </c>
    </row>
    <row r="156" spans="1:37" ht="15" customHeight="1" x14ac:dyDescent="0.25">
      <c r="A156" s="75" t="str">
        <f>_xlfn.XLOOKUP(C156,[1]Sheet2!$D:$D,[1]Sheet2!$C:$C)</f>
        <v>EM00016054</v>
      </c>
      <c r="B156" s="37">
        <v>1325</v>
      </c>
      <c r="C156" s="51" t="s">
        <v>248</v>
      </c>
      <c r="D156" s="37">
        <v>1</v>
      </c>
      <c r="E156" s="47" t="s">
        <v>205</v>
      </c>
      <c r="F156" s="48">
        <v>46266</v>
      </c>
      <c r="G156" s="48">
        <v>46295</v>
      </c>
      <c r="H156" s="37" t="s">
        <v>320</v>
      </c>
      <c r="I156" s="51" t="s">
        <v>248</v>
      </c>
      <c r="J156" s="51" t="s">
        <v>267</v>
      </c>
      <c r="K156" s="51" t="s">
        <v>252</v>
      </c>
      <c r="L156" s="37"/>
      <c r="M156" s="37"/>
      <c r="N156" s="37" t="s">
        <v>268</v>
      </c>
      <c r="O156" s="37" t="s">
        <v>275</v>
      </c>
      <c r="P156" s="37" t="s">
        <v>31</v>
      </c>
      <c r="Q156" s="37"/>
      <c r="R156" s="37" t="s">
        <v>31</v>
      </c>
      <c r="S156" s="37"/>
      <c r="T156" s="37" t="s">
        <v>204</v>
      </c>
      <c r="U156" s="37" t="s">
        <v>350</v>
      </c>
      <c r="V156" s="50" t="s">
        <v>31</v>
      </c>
      <c r="W156" s="37"/>
      <c r="X156" s="37" t="s">
        <v>31</v>
      </c>
      <c r="Y156" s="37"/>
      <c r="Z156" s="37" t="s">
        <v>31</v>
      </c>
      <c r="AA156" s="37"/>
      <c r="AB156" s="37" t="s">
        <v>31</v>
      </c>
      <c r="AC156" s="37"/>
      <c r="AD156" s="37" t="s">
        <v>31</v>
      </c>
      <c r="AE156" s="37"/>
      <c r="AH156" s="17"/>
      <c r="AI156" s="17" t="b">
        <f t="shared" si="9"/>
        <v>1</v>
      </c>
      <c r="AJ156" s="17" t="b">
        <f t="shared" si="10"/>
        <v>1</v>
      </c>
      <c r="AK156" s="17" t="str">
        <f t="shared" si="11"/>
        <v>EM00015658</v>
      </c>
    </row>
    <row r="157" spans="1:37" ht="15" customHeight="1" x14ac:dyDescent="0.25">
      <c r="A157" s="75" t="str">
        <f>_xlfn.XLOOKUP(C157,[1]Sheet2!$D:$D,[1]Sheet2!$C:$C)</f>
        <v>EM00015600</v>
      </c>
      <c r="B157" s="37">
        <v>1325</v>
      </c>
      <c r="C157" s="51" t="s">
        <v>249</v>
      </c>
      <c r="D157" s="37">
        <v>1</v>
      </c>
      <c r="E157" s="47" t="s">
        <v>205</v>
      </c>
      <c r="F157" s="48">
        <v>46266</v>
      </c>
      <c r="G157" s="48">
        <v>46295</v>
      </c>
      <c r="H157" s="37" t="s">
        <v>266</v>
      </c>
      <c r="I157" s="51" t="s">
        <v>249</v>
      </c>
      <c r="J157" s="51" t="s">
        <v>267</v>
      </c>
      <c r="K157" s="51" t="s">
        <v>252</v>
      </c>
      <c r="L157" s="37"/>
      <c r="M157" s="37"/>
      <c r="N157" s="37" t="s">
        <v>268</v>
      </c>
      <c r="O157" s="37" t="s">
        <v>275</v>
      </c>
      <c r="P157" s="37" t="s">
        <v>31</v>
      </c>
      <c r="Q157" s="37"/>
      <c r="R157" s="37" t="s">
        <v>31</v>
      </c>
      <c r="S157" s="37"/>
      <c r="T157" s="37" t="s">
        <v>204</v>
      </c>
      <c r="U157" s="37" t="s">
        <v>350</v>
      </c>
      <c r="V157" s="50" t="s">
        <v>31</v>
      </c>
      <c r="W157" s="37"/>
      <c r="X157" s="37" t="s">
        <v>31</v>
      </c>
      <c r="Y157" s="37"/>
      <c r="Z157" s="37" t="s">
        <v>31</v>
      </c>
      <c r="AA157" s="37"/>
      <c r="AB157" s="37" t="s">
        <v>31</v>
      </c>
      <c r="AC157" s="37"/>
      <c r="AD157" s="37" t="s">
        <v>31</v>
      </c>
      <c r="AE157" s="37"/>
      <c r="AH157" s="17"/>
      <c r="AI157" s="17" t="b">
        <f t="shared" si="9"/>
        <v>1</v>
      </c>
      <c r="AJ157" s="17" t="b">
        <f t="shared" si="10"/>
        <v>1</v>
      </c>
      <c r="AK157" s="17" t="str">
        <f t="shared" si="11"/>
        <v>EM00015658</v>
      </c>
    </row>
    <row r="158" spans="1:37" ht="15" customHeight="1" x14ac:dyDescent="0.25">
      <c r="A158" s="75" t="str">
        <f>_xlfn.XLOOKUP(C158,[1]Sheet2!$D:$D,[1]Sheet2!$C:$C)</f>
        <v>EM00016286</v>
      </c>
      <c r="B158" s="37">
        <v>1325</v>
      </c>
      <c r="C158" s="51" t="s">
        <v>250</v>
      </c>
      <c r="D158" s="37">
        <v>1</v>
      </c>
      <c r="E158" s="47" t="s">
        <v>205</v>
      </c>
      <c r="F158" s="48">
        <v>46266</v>
      </c>
      <c r="G158" s="48">
        <v>46295</v>
      </c>
      <c r="H158" s="37" t="s">
        <v>463</v>
      </c>
      <c r="I158" s="51" t="s">
        <v>250</v>
      </c>
      <c r="J158" s="51" t="s">
        <v>267</v>
      </c>
      <c r="K158" s="51" t="s">
        <v>252</v>
      </c>
      <c r="L158" s="37"/>
      <c r="M158" s="37"/>
      <c r="N158" s="37" t="s">
        <v>268</v>
      </c>
      <c r="O158" s="37" t="s">
        <v>275</v>
      </c>
      <c r="P158" s="37" t="s">
        <v>31</v>
      </c>
      <c r="Q158" s="37"/>
      <c r="R158" s="37" t="s">
        <v>31</v>
      </c>
      <c r="S158" s="37"/>
      <c r="T158" s="37" t="s">
        <v>204</v>
      </c>
      <c r="U158" s="37" t="s">
        <v>350</v>
      </c>
      <c r="V158" s="50" t="s">
        <v>31</v>
      </c>
      <c r="W158" s="37"/>
      <c r="X158" s="37" t="s">
        <v>31</v>
      </c>
      <c r="Y158" s="37"/>
      <c r="Z158" s="37" t="s">
        <v>31</v>
      </c>
      <c r="AA158" s="37"/>
      <c r="AB158" s="37" t="s">
        <v>31</v>
      </c>
      <c r="AC158" s="37"/>
      <c r="AD158" s="37" t="s">
        <v>31</v>
      </c>
      <c r="AE158" s="37"/>
      <c r="AH158" s="17"/>
      <c r="AI158" s="17" t="b">
        <f t="shared" si="9"/>
        <v>1</v>
      </c>
      <c r="AJ158" s="17" t="b">
        <f t="shared" si="10"/>
        <v>1</v>
      </c>
      <c r="AK158" s="17" t="str">
        <f t="shared" si="11"/>
        <v>EM00015658</v>
      </c>
    </row>
    <row r="159" spans="1:37" ht="15" customHeight="1" x14ac:dyDescent="0.25">
      <c r="A159" s="75" t="str">
        <f>_xlfn.XLOOKUP(C159,[1]Sheet2!$D:$D,[1]Sheet2!$C:$C)</f>
        <v>EM00016040</v>
      </c>
      <c r="B159" s="37">
        <v>1325</v>
      </c>
      <c r="C159" s="51" t="s">
        <v>251</v>
      </c>
      <c r="D159" s="37">
        <v>1</v>
      </c>
      <c r="E159" s="47" t="s">
        <v>205</v>
      </c>
      <c r="F159" s="48">
        <v>46266</v>
      </c>
      <c r="G159" s="48">
        <v>46295</v>
      </c>
      <c r="H159" s="37" t="s">
        <v>321</v>
      </c>
      <c r="I159" s="51" t="s">
        <v>251</v>
      </c>
      <c r="J159" s="51" t="s">
        <v>267</v>
      </c>
      <c r="K159" s="51" t="s">
        <v>252</v>
      </c>
      <c r="L159" s="37"/>
      <c r="M159" s="37"/>
      <c r="N159" s="37" t="s">
        <v>268</v>
      </c>
      <c r="O159" s="37" t="s">
        <v>275</v>
      </c>
      <c r="P159" s="37" t="s">
        <v>31</v>
      </c>
      <c r="Q159" s="37"/>
      <c r="R159" s="37" t="s">
        <v>31</v>
      </c>
      <c r="S159" s="37"/>
      <c r="T159" s="37" t="s">
        <v>204</v>
      </c>
      <c r="U159" s="37" t="s">
        <v>350</v>
      </c>
      <c r="V159" s="50" t="s">
        <v>31</v>
      </c>
      <c r="W159" s="37"/>
      <c r="X159" s="37" t="s">
        <v>31</v>
      </c>
      <c r="Y159" s="37"/>
      <c r="Z159" s="37" t="s">
        <v>31</v>
      </c>
      <c r="AA159" s="37"/>
      <c r="AB159" s="37" t="s">
        <v>31</v>
      </c>
      <c r="AC159" s="37"/>
      <c r="AD159" s="37" t="s">
        <v>31</v>
      </c>
      <c r="AE159" s="37"/>
      <c r="AH159" s="17"/>
      <c r="AI159" s="17" t="b">
        <f t="shared" si="9"/>
        <v>1</v>
      </c>
      <c r="AJ159" s="17" t="b">
        <f t="shared" si="10"/>
        <v>1</v>
      </c>
      <c r="AK159" s="17" t="str">
        <f t="shared" si="11"/>
        <v>EM00015658</v>
      </c>
    </row>
    <row r="160" spans="1:37" ht="15" customHeight="1" x14ac:dyDescent="0.25">
      <c r="A160" s="75" t="str">
        <f>_xlfn.XLOOKUP(C160,[1]Sheet2!$D:$D,[1]Sheet2!$C:$C)</f>
        <v>EM00015658</v>
      </c>
      <c r="B160" s="37">
        <v>1325</v>
      </c>
      <c r="C160" s="51" t="s">
        <v>252</v>
      </c>
      <c r="D160" s="37">
        <v>2</v>
      </c>
      <c r="E160" s="47" t="s">
        <v>205</v>
      </c>
      <c r="F160" s="48">
        <v>46266</v>
      </c>
      <c r="G160" s="48">
        <v>46295</v>
      </c>
      <c r="H160" s="37"/>
      <c r="I160" s="37"/>
      <c r="J160" s="51" t="s">
        <v>267</v>
      </c>
      <c r="K160" s="51" t="s">
        <v>252</v>
      </c>
      <c r="L160" s="37"/>
      <c r="M160" s="37"/>
      <c r="N160" s="37" t="s">
        <v>268</v>
      </c>
      <c r="O160" s="37" t="s">
        <v>275</v>
      </c>
      <c r="P160" s="37" t="s">
        <v>31</v>
      </c>
      <c r="Q160" s="37"/>
      <c r="R160" s="37" t="s">
        <v>31</v>
      </c>
      <c r="S160" s="37"/>
      <c r="T160" s="37" t="s">
        <v>204</v>
      </c>
      <c r="U160" s="37" t="s">
        <v>350</v>
      </c>
      <c r="V160" s="50" t="s">
        <v>31</v>
      </c>
      <c r="W160" s="37"/>
      <c r="X160" s="37" t="s">
        <v>31</v>
      </c>
      <c r="Y160" s="37"/>
      <c r="Z160" s="37" t="s">
        <v>31</v>
      </c>
      <c r="AA160" s="37"/>
      <c r="AB160" s="37" t="s">
        <v>31</v>
      </c>
      <c r="AC160" s="37"/>
      <c r="AD160" s="37" t="s">
        <v>31</v>
      </c>
      <c r="AE160" s="37"/>
      <c r="AH160" s="17"/>
      <c r="AI160" s="17" t="b">
        <f t="shared" si="9"/>
        <v>1</v>
      </c>
      <c r="AJ160" s="17" t="b">
        <f t="shared" si="10"/>
        <v>1</v>
      </c>
      <c r="AK160" s="17" t="str">
        <f t="shared" si="11"/>
        <v>EM00015554</v>
      </c>
    </row>
    <row r="161" spans="1:37" ht="15" customHeight="1" x14ac:dyDescent="0.25">
      <c r="A161" s="75" t="str">
        <f>_xlfn.XLOOKUP(C161,[1]Sheet2!$D:$D,[1]Sheet2!$C:$C)</f>
        <v>EM00015658</v>
      </c>
      <c r="B161" s="37">
        <v>1327</v>
      </c>
      <c r="C161" s="51" t="s">
        <v>252</v>
      </c>
      <c r="D161" s="37">
        <v>2</v>
      </c>
      <c r="E161" s="47" t="s">
        <v>205</v>
      </c>
      <c r="F161" s="48">
        <v>46266</v>
      </c>
      <c r="G161" s="48">
        <v>46295</v>
      </c>
      <c r="H161" s="37"/>
      <c r="I161" s="37"/>
      <c r="J161" s="51" t="s">
        <v>267</v>
      </c>
      <c r="K161" s="51" t="s">
        <v>252</v>
      </c>
      <c r="L161" s="37"/>
      <c r="M161" s="37"/>
      <c r="N161" s="37" t="s">
        <v>268</v>
      </c>
      <c r="O161" s="37" t="s">
        <v>275</v>
      </c>
      <c r="P161" s="37" t="s">
        <v>31</v>
      </c>
      <c r="Q161" s="37"/>
      <c r="R161" s="37" t="s">
        <v>31</v>
      </c>
      <c r="S161" s="37"/>
      <c r="T161" s="37" t="s">
        <v>204</v>
      </c>
      <c r="U161" s="37" t="s">
        <v>350</v>
      </c>
      <c r="V161" s="50" t="s">
        <v>31</v>
      </c>
      <c r="W161" s="37"/>
      <c r="X161" s="37" t="s">
        <v>31</v>
      </c>
      <c r="Y161" s="37"/>
      <c r="Z161" s="37" t="s">
        <v>31</v>
      </c>
      <c r="AA161" s="37"/>
      <c r="AB161" s="37" t="s">
        <v>31</v>
      </c>
      <c r="AC161" s="37"/>
      <c r="AD161" s="37" t="s">
        <v>31</v>
      </c>
      <c r="AE161" s="37"/>
      <c r="AH161" s="17"/>
      <c r="AI161" s="17" t="b">
        <f t="shared" si="9"/>
        <v>1</v>
      </c>
      <c r="AJ161" s="17" t="b">
        <f t="shared" si="10"/>
        <v>1</v>
      </c>
      <c r="AK161" s="17" t="str">
        <f t="shared" si="11"/>
        <v>EM00015554</v>
      </c>
    </row>
    <row r="162" spans="1:37" ht="15" customHeight="1" x14ac:dyDescent="0.25">
      <c r="A162" s="37" t="s">
        <v>268</v>
      </c>
      <c r="B162" s="37">
        <v>1324</v>
      </c>
      <c r="C162" s="37" t="s">
        <v>275</v>
      </c>
      <c r="D162" s="37">
        <v>4</v>
      </c>
      <c r="E162" s="47" t="s">
        <v>205</v>
      </c>
      <c r="F162" s="48">
        <v>46266</v>
      </c>
      <c r="G162" s="48">
        <v>46295</v>
      </c>
      <c r="H162" s="37"/>
      <c r="I162" s="37"/>
      <c r="J162" s="51"/>
      <c r="K162" s="51"/>
      <c r="L162" s="37"/>
      <c r="M162" s="37"/>
      <c r="N162" s="37" t="s">
        <v>268</v>
      </c>
      <c r="O162" s="37" t="s">
        <v>275</v>
      </c>
      <c r="P162" s="37" t="s">
        <v>31</v>
      </c>
      <c r="Q162" s="37"/>
      <c r="R162" s="37" t="s">
        <v>31</v>
      </c>
      <c r="S162" s="37"/>
      <c r="T162" s="37" t="s">
        <v>204</v>
      </c>
      <c r="U162" s="37" t="s">
        <v>350</v>
      </c>
      <c r="V162" s="50" t="s">
        <v>31</v>
      </c>
      <c r="W162" s="37"/>
      <c r="X162" s="37" t="s">
        <v>31</v>
      </c>
      <c r="Y162" s="37"/>
      <c r="Z162" s="37" t="s">
        <v>31</v>
      </c>
      <c r="AA162" s="37"/>
      <c r="AB162" s="37" t="s">
        <v>31</v>
      </c>
      <c r="AC162" s="37"/>
      <c r="AD162" s="37" t="s">
        <v>31</v>
      </c>
      <c r="AE162" s="37"/>
      <c r="AH162" s="17"/>
      <c r="AI162" s="17" t="b">
        <f t="shared" si="9"/>
        <v>1</v>
      </c>
      <c r="AJ162" s="17" t="b">
        <f t="shared" si="10"/>
        <v>1</v>
      </c>
      <c r="AK162" s="17" t="str">
        <f t="shared" si="11"/>
        <v>EM00000000</v>
      </c>
    </row>
    <row r="163" spans="1:37" ht="15" customHeight="1" x14ac:dyDescent="0.25">
      <c r="A163" s="37" t="s">
        <v>268</v>
      </c>
      <c r="B163" s="37">
        <v>1325</v>
      </c>
      <c r="C163" s="37" t="s">
        <v>275</v>
      </c>
      <c r="D163" s="37">
        <v>4</v>
      </c>
      <c r="E163" s="47" t="s">
        <v>205</v>
      </c>
      <c r="F163" s="48">
        <v>46266</v>
      </c>
      <c r="G163" s="48">
        <v>46295</v>
      </c>
      <c r="H163" s="37"/>
      <c r="I163" s="37"/>
      <c r="J163" s="51"/>
      <c r="K163" s="51"/>
      <c r="L163" s="37"/>
      <c r="M163" s="37"/>
      <c r="N163" s="37" t="s">
        <v>268</v>
      </c>
      <c r="O163" s="37" t="s">
        <v>275</v>
      </c>
      <c r="P163" s="37" t="s">
        <v>31</v>
      </c>
      <c r="Q163" s="37"/>
      <c r="R163" s="37" t="s">
        <v>31</v>
      </c>
      <c r="S163" s="37"/>
      <c r="T163" s="37" t="s">
        <v>204</v>
      </c>
      <c r="U163" s="37" t="s">
        <v>350</v>
      </c>
      <c r="V163" s="50" t="s">
        <v>31</v>
      </c>
      <c r="W163" s="37"/>
      <c r="X163" s="37" t="s">
        <v>31</v>
      </c>
      <c r="Y163" s="37"/>
      <c r="Z163" s="37" t="s">
        <v>31</v>
      </c>
      <c r="AA163" s="37"/>
      <c r="AB163" s="37" t="s">
        <v>31</v>
      </c>
      <c r="AC163" s="37"/>
      <c r="AD163" s="37" t="s">
        <v>31</v>
      </c>
      <c r="AE163" s="37"/>
      <c r="AH163" s="17"/>
      <c r="AI163" s="17" t="b">
        <f t="shared" si="9"/>
        <v>1</v>
      </c>
      <c r="AJ163" s="17" t="b">
        <f t="shared" si="10"/>
        <v>1</v>
      </c>
      <c r="AK163" s="17" t="str">
        <f t="shared" si="11"/>
        <v>EM00000000</v>
      </c>
    </row>
    <row r="164" spans="1:37" ht="15" customHeight="1" x14ac:dyDescent="0.25">
      <c r="A164" s="37" t="s">
        <v>268</v>
      </c>
      <c r="B164" s="37">
        <v>1326</v>
      </c>
      <c r="C164" s="37" t="s">
        <v>275</v>
      </c>
      <c r="D164" s="37">
        <v>4</v>
      </c>
      <c r="E164" s="47" t="s">
        <v>205</v>
      </c>
      <c r="F164" s="48">
        <v>46266</v>
      </c>
      <c r="G164" s="48">
        <v>46295</v>
      </c>
      <c r="H164" s="37"/>
      <c r="I164" s="37"/>
      <c r="J164" s="51"/>
      <c r="K164" s="51"/>
      <c r="L164" s="37"/>
      <c r="M164" s="37"/>
      <c r="N164" s="37" t="s">
        <v>268</v>
      </c>
      <c r="O164" s="37" t="s">
        <v>275</v>
      </c>
      <c r="P164" s="37" t="s">
        <v>31</v>
      </c>
      <c r="Q164" s="37"/>
      <c r="R164" s="37" t="s">
        <v>31</v>
      </c>
      <c r="S164" s="37"/>
      <c r="T164" s="37" t="s">
        <v>204</v>
      </c>
      <c r="U164" s="37" t="s">
        <v>350</v>
      </c>
      <c r="V164" s="50" t="s">
        <v>31</v>
      </c>
      <c r="W164" s="37"/>
      <c r="X164" s="37" t="s">
        <v>31</v>
      </c>
      <c r="Y164" s="37"/>
      <c r="Z164" s="37" t="s">
        <v>31</v>
      </c>
      <c r="AA164" s="37"/>
      <c r="AB164" s="37" t="s">
        <v>31</v>
      </c>
      <c r="AC164" s="37"/>
      <c r="AD164" s="37" t="s">
        <v>31</v>
      </c>
      <c r="AE164" s="37"/>
      <c r="AH164" s="17"/>
      <c r="AI164" s="17" t="b">
        <f t="shared" si="9"/>
        <v>1</v>
      </c>
      <c r="AJ164" s="17" t="b">
        <f t="shared" si="10"/>
        <v>1</v>
      </c>
      <c r="AK164" s="17" t="str">
        <f t="shared" si="11"/>
        <v>EM00000000</v>
      </c>
    </row>
    <row r="165" spans="1:37" ht="15" customHeight="1" x14ac:dyDescent="0.25">
      <c r="A165" s="37" t="s">
        <v>268</v>
      </c>
      <c r="B165" s="37">
        <v>1327</v>
      </c>
      <c r="C165" s="37" t="s">
        <v>275</v>
      </c>
      <c r="D165" s="37">
        <v>4</v>
      </c>
      <c r="E165" s="47" t="s">
        <v>205</v>
      </c>
      <c r="F165" s="48">
        <v>46266</v>
      </c>
      <c r="G165" s="48">
        <v>46295</v>
      </c>
      <c r="H165" s="37"/>
      <c r="I165" s="37"/>
      <c r="J165" s="51"/>
      <c r="K165" s="51"/>
      <c r="L165" s="37"/>
      <c r="M165" s="37"/>
      <c r="N165" s="37" t="s">
        <v>268</v>
      </c>
      <c r="O165" s="37" t="s">
        <v>275</v>
      </c>
      <c r="P165" s="37" t="s">
        <v>31</v>
      </c>
      <c r="Q165" s="37"/>
      <c r="R165" s="37" t="s">
        <v>31</v>
      </c>
      <c r="S165" s="37"/>
      <c r="T165" s="37" t="s">
        <v>204</v>
      </c>
      <c r="U165" s="37" t="s">
        <v>350</v>
      </c>
      <c r="V165" s="50" t="s">
        <v>31</v>
      </c>
      <c r="W165" s="37"/>
      <c r="X165" s="37" t="s">
        <v>31</v>
      </c>
      <c r="Y165" s="37"/>
      <c r="Z165" s="37" t="s">
        <v>31</v>
      </c>
      <c r="AA165" s="37"/>
      <c r="AB165" s="37" t="s">
        <v>31</v>
      </c>
      <c r="AC165" s="37"/>
      <c r="AD165" s="37" t="s">
        <v>31</v>
      </c>
      <c r="AE165" s="37"/>
      <c r="AH165" s="17"/>
      <c r="AI165" s="17" t="b">
        <f t="shared" si="9"/>
        <v>1</v>
      </c>
      <c r="AJ165" s="17" t="b">
        <f t="shared" si="10"/>
        <v>1</v>
      </c>
      <c r="AK165" s="17" t="str">
        <f t="shared" si="11"/>
        <v>EM00000000</v>
      </c>
    </row>
    <row r="166" spans="1:37" ht="15" customHeight="1" x14ac:dyDescent="0.25">
      <c r="A166" s="37" t="s">
        <v>269</v>
      </c>
      <c r="B166" s="37">
        <v>1398</v>
      </c>
      <c r="C166" s="37" t="s">
        <v>272</v>
      </c>
      <c r="D166" s="37">
        <v>1</v>
      </c>
      <c r="E166" s="47" t="s">
        <v>205</v>
      </c>
      <c r="F166" s="48">
        <v>46266</v>
      </c>
      <c r="G166" s="48">
        <v>46295</v>
      </c>
      <c r="H166" s="37" t="s">
        <v>269</v>
      </c>
      <c r="I166" s="37" t="s">
        <v>272</v>
      </c>
      <c r="J166" s="52" t="s">
        <v>270</v>
      </c>
      <c r="K166" s="37" t="s">
        <v>273</v>
      </c>
      <c r="L166" s="51" t="s">
        <v>31</v>
      </c>
      <c r="M166" s="53"/>
      <c r="N166" s="37" t="s">
        <v>271</v>
      </c>
      <c r="O166" s="37" t="s">
        <v>274</v>
      </c>
      <c r="P166" s="51" t="s">
        <v>31</v>
      </c>
      <c r="Q166" s="37"/>
      <c r="R166" s="37" t="s">
        <v>31</v>
      </c>
      <c r="S166" s="37"/>
      <c r="T166" s="37" t="s">
        <v>31</v>
      </c>
      <c r="U166" s="37"/>
      <c r="V166" s="51" t="s">
        <v>31</v>
      </c>
      <c r="W166" s="37"/>
      <c r="X166" s="37" t="s">
        <v>31</v>
      </c>
      <c r="Y166" s="37"/>
      <c r="Z166" s="52" t="s">
        <v>31</v>
      </c>
      <c r="AA166" s="52"/>
      <c r="AB166" s="52" t="s">
        <v>31</v>
      </c>
      <c r="AC166" s="52"/>
      <c r="AD166" s="52" t="s">
        <v>31</v>
      </c>
      <c r="AE166" s="52"/>
      <c r="AH166" s="17"/>
      <c r="AI166" s="17" t="b">
        <f t="shared" si="9"/>
        <v>1</v>
      </c>
      <c r="AJ166" s="17" t="b">
        <f t="shared" si="10"/>
        <v>1</v>
      </c>
      <c r="AK166" s="17" t="str">
        <f t="shared" si="11"/>
        <v>EM000VAC02</v>
      </c>
    </row>
    <row r="167" spans="1:37" ht="15" customHeight="1" x14ac:dyDescent="0.25">
      <c r="A167" s="37" t="s">
        <v>270</v>
      </c>
      <c r="B167" s="37">
        <v>1398</v>
      </c>
      <c r="C167" s="37" t="s">
        <v>273</v>
      </c>
      <c r="D167" s="37">
        <v>2</v>
      </c>
      <c r="E167" s="47" t="s">
        <v>205</v>
      </c>
      <c r="F167" s="48">
        <v>46266</v>
      </c>
      <c r="G167" s="48">
        <v>46295</v>
      </c>
      <c r="H167" s="50"/>
      <c r="I167" s="37"/>
      <c r="J167" s="52" t="s">
        <v>270</v>
      </c>
      <c r="K167" s="37" t="s">
        <v>273</v>
      </c>
      <c r="L167" s="51" t="s">
        <v>31</v>
      </c>
      <c r="M167" s="53"/>
      <c r="N167" s="37" t="s">
        <v>271</v>
      </c>
      <c r="O167" s="37" t="s">
        <v>274</v>
      </c>
      <c r="P167" s="51" t="s">
        <v>31</v>
      </c>
      <c r="Q167" s="37"/>
      <c r="R167" s="37" t="s">
        <v>31</v>
      </c>
      <c r="S167" s="37"/>
      <c r="T167" s="37" t="s">
        <v>31</v>
      </c>
      <c r="U167" s="37"/>
      <c r="V167" s="51" t="s">
        <v>31</v>
      </c>
      <c r="W167" s="37"/>
      <c r="X167" s="37" t="s">
        <v>31</v>
      </c>
      <c r="Y167" s="37"/>
      <c r="Z167" s="52" t="s">
        <v>31</v>
      </c>
      <c r="AA167" s="52"/>
      <c r="AB167" s="52" t="s">
        <v>31</v>
      </c>
      <c r="AC167" s="52"/>
      <c r="AD167" s="52" t="s">
        <v>31</v>
      </c>
      <c r="AE167" s="52"/>
      <c r="AH167" s="17"/>
      <c r="AI167" s="17" t="b">
        <f t="shared" si="9"/>
        <v>1</v>
      </c>
      <c r="AJ167" s="17" t="b">
        <f t="shared" si="10"/>
        <v>1</v>
      </c>
      <c r="AK167" s="17" t="str">
        <f t="shared" si="11"/>
        <v>EM000VAC03</v>
      </c>
    </row>
    <row r="168" spans="1:37" ht="15" customHeight="1" x14ac:dyDescent="0.25">
      <c r="A168" s="37" t="s">
        <v>271</v>
      </c>
      <c r="B168" s="37">
        <v>1398</v>
      </c>
      <c r="C168" s="37" t="s">
        <v>274</v>
      </c>
      <c r="D168" s="37">
        <v>4</v>
      </c>
      <c r="E168" s="47" t="s">
        <v>205</v>
      </c>
      <c r="F168" s="48">
        <v>46266</v>
      </c>
      <c r="G168" s="48">
        <v>46295</v>
      </c>
      <c r="H168" s="37"/>
      <c r="I168" s="37"/>
      <c r="J168" s="37"/>
      <c r="K168" s="37"/>
      <c r="L168" s="52"/>
      <c r="M168" s="53"/>
      <c r="N168" s="37" t="s">
        <v>271</v>
      </c>
      <c r="O168" s="37" t="s">
        <v>274</v>
      </c>
      <c r="P168" s="52" t="s">
        <v>31</v>
      </c>
      <c r="Q168" s="37"/>
      <c r="R168" s="37" t="s">
        <v>31</v>
      </c>
      <c r="S168" s="37"/>
      <c r="T168" s="37" t="s">
        <v>31</v>
      </c>
      <c r="U168" s="37"/>
      <c r="V168" s="51" t="s">
        <v>31</v>
      </c>
      <c r="W168" s="37"/>
      <c r="X168" s="37" t="s">
        <v>31</v>
      </c>
      <c r="Y168" s="37"/>
      <c r="Z168" s="52" t="s">
        <v>31</v>
      </c>
      <c r="AA168" s="52"/>
      <c r="AB168" s="52" t="s">
        <v>31</v>
      </c>
      <c r="AC168" s="52"/>
      <c r="AD168" s="52" t="s">
        <v>31</v>
      </c>
      <c r="AE168" s="52"/>
      <c r="AH168" s="17"/>
      <c r="AI168" s="17" t="b">
        <f t="shared" si="9"/>
        <v>1</v>
      </c>
      <c r="AJ168" s="17" t="b">
        <f t="shared" si="10"/>
        <v>1</v>
      </c>
      <c r="AK168" s="17" t="str">
        <f t="shared" si="11"/>
        <v>EM00000000</v>
      </c>
    </row>
    <row r="169" spans="1:37" ht="15" customHeight="1" x14ac:dyDescent="0.25">
      <c r="A169" s="37" t="s">
        <v>204</v>
      </c>
      <c r="B169" s="37">
        <v>1310</v>
      </c>
      <c r="C169" s="37" t="s">
        <v>350</v>
      </c>
      <c r="D169" s="37">
        <v>7</v>
      </c>
      <c r="E169" s="47" t="s">
        <v>205</v>
      </c>
      <c r="F169" s="48">
        <v>46266</v>
      </c>
      <c r="G169" s="48">
        <v>46295</v>
      </c>
      <c r="H169" s="37"/>
      <c r="I169" s="37"/>
      <c r="J169" s="51"/>
      <c r="K169" s="51"/>
      <c r="L169" s="37"/>
      <c r="M169" s="37"/>
      <c r="N169" s="37"/>
      <c r="O169" s="37"/>
      <c r="P169" s="37" t="s">
        <v>31</v>
      </c>
      <c r="Q169" s="37"/>
      <c r="R169" s="37" t="s">
        <v>31</v>
      </c>
      <c r="S169" s="37"/>
      <c r="T169" s="37" t="s">
        <v>204</v>
      </c>
      <c r="U169" s="37" t="s">
        <v>350</v>
      </c>
      <c r="V169" s="50" t="s">
        <v>31</v>
      </c>
      <c r="W169" s="37"/>
      <c r="X169" s="37" t="s">
        <v>31</v>
      </c>
      <c r="Y169" s="37"/>
      <c r="Z169" s="37" t="s">
        <v>31</v>
      </c>
      <c r="AA169" s="37"/>
      <c r="AB169" s="37" t="s">
        <v>31</v>
      </c>
      <c r="AC169" s="37"/>
      <c r="AD169" s="37" t="s">
        <v>31</v>
      </c>
      <c r="AE169" s="37"/>
      <c r="AH169" s="17"/>
      <c r="AI169" s="17" t="b">
        <f t="shared" si="9"/>
        <v>1</v>
      </c>
      <c r="AJ169" s="17" t="b">
        <f t="shared" si="10"/>
        <v>1</v>
      </c>
      <c r="AK169" s="17" t="str">
        <f t="shared" si="11"/>
        <v>EM00000000</v>
      </c>
    </row>
    <row r="170" spans="1:37" ht="15" customHeight="1" x14ac:dyDescent="0.25">
      <c r="A170" s="37" t="s">
        <v>204</v>
      </c>
      <c r="B170" s="37">
        <v>1311</v>
      </c>
      <c r="C170" s="37" t="s">
        <v>350</v>
      </c>
      <c r="D170" s="37">
        <v>7</v>
      </c>
      <c r="E170" s="47" t="s">
        <v>205</v>
      </c>
      <c r="F170" s="48">
        <v>46266</v>
      </c>
      <c r="G170" s="48">
        <v>46295</v>
      </c>
      <c r="H170" s="37"/>
      <c r="I170" s="37"/>
      <c r="J170" s="51"/>
      <c r="K170" s="51"/>
      <c r="L170" s="37"/>
      <c r="M170" s="37"/>
      <c r="N170" s="37"/>
      <c r="O170" s="37"/>
      <c r="P170" s="37" t="s">
        <v>31</v>
      </c>
      <c r="Q170" s="37"/>
      <c r="R170" s="37" t="s">
        <v>31</v>
      </c>
      <c r="S170" s="37"/>
      <c r="T170" s="37" t="s">
        <v>204</v>
      </c>
      <c r="U170" s="37" t="s">
        <v>350</v>
      </c>
      <c r="V170" s="50" t="s">
        <v>31</v>
      </c>
      <c r="W170" s="37"/>
      <c r="X170" s="37" t="s">
        <v>31</v>
      </c>
      <c r="Y170" s="37"/>
      <c r="Z170" s="37" t="s">
        <v>31</v>
      </c>
      <c r="AA170" s="37"/>
      <c r="AB170" s="37" t="s">
        <v>31</v>
      </c>
      <c r="AC170" s="37"/>
      <c r="AD170" s="37" t="s">
        <v>31</v>
      </c>
      <c r="AE170" s="37"/>
      <c r="AH170" s="17"/>
      <c r="AI170" s="17" t="b">
        <f t="shared" si="9"/>
        <v>1</v>
      </c>
      <c r="AJ170" s="17" t="b">
        <f t="shared" si="10"/>
        <v>1</v>
      </c>
      <c r="AK170" s="17" t="str">
        <f t="shared" si="11"/>
        <v>EM00000000</v>
      </c>
    </row>
    <row r="171" spans="1:37" ht="15" customHeight="1" x14ac:dyDescent="0.25">
      <c r="A171" s="37" t="s">
        <v>204</v>
      </c>
      <c r="B171" s="37">
        <v>1313</v>
      </c>
      <c r="C171" s="37" t="s">
        <v>350</v>
      </c>
      <c r="D171" s="37">
        <v>7</v>
      </c>
      <c r="E171" s="47" t="s">
        <v>205</v>
      </c>
      <c r="F171" s="48">
        <v>46266</v>
      </c>
      <c r="G171" s="48">
        <v>46295</v>
      </c>
      <c r="H171" s="37"/>
      <c r="I171" s="37"/>
      <c r="J171" s="51"/>
      <c r="K171" s="51"/>
      <c r="L171" s="37"/>
      <c r="M171" s="37"/>
      <c r="N171" s="37"/>
      <c r="O171" s="37"/>
      <c r="P171" s="51" t="s">
        <v>31</v>
      </c>
      <c r="Q171" s="37"/>
      <c r="R171" s="37" t="s">
        <v>31</v>
      </c>
      <c r="S171" s="37"/>
      <c r="T171" s="37" t="s">
        <v>204</v>
      </c>
      <c r="U171" s="37" t="s">
        <v>350</v>
      </c>
      <c r="V171" s="50" t="s">
        <v>31</v>
      </c>
      <c r="W171" s="37"/>
      <c r="X171" s="37" t="s">
        <v>31</v>
      </c>
      <c r="Y171" s="37"/>
      <c r="Z171" s="37" t="s">
        <v>31</v>
      </c>
      <c r="AA171" s="37"/>
      <c r="AB171" s="37" t="s">
        <v>31</v>
      </c>
      <c r="AC171" s="37"/>
      <c r="AD171" s="37" t="s">
        <v>31</v>
      </c>
      <c r="AE171" s="37"/>
      <c r="AH171" s="17"/>
      <c r="AI171" s="17" t="b">
        <f t="shared" si="9"/>
        <v>1</v>
      </c>
      <c r="AJ171" s="17" t="b">
        <f t="shared" si="10"/>
        <v>1</v>
      </c>
      <c r="AK171" s="17" t="str">
        <f t="shared" si="11"/>
        <v>EM00000000</v>
      </c>
    </row>
    <row r="172" spans="1:37" ht="15" customHeight="1" x14ac:dyDescent="0.25">
      <c r="A172" s="37" t="s">
        <v>204</v>
      </c>
      <c r="B172" s="37">
        <v>1336</v>
      </c>
      <c r="C172" s="37" t="s">
        <v>350</v>
      </c>
      <c r="D172" s="37">
        <v>7</v>
      </c>
      <c r="E172" s="47" t="s">
        <v>205</v>
      </c>
      <c r="F172" s="48">
        <v>46266</v>
      </c>
      <c r="G172" s="48">
        <v>46295</v>
      </c>
      <c r="H172" s="37"/>
      <c r="I172" s="37"/>
      <c r="J172" s="51"/>
      <c r="K172" s="51"/>
      <c r="L172" s="37"/>
      <c r="M172" s="37"/>
      <c r="N172" s="37"/>
      <c r="O172" s="37"/>
      <c r="P172" s="51" t="s">
        <v>31</v>
      </c>
      <c r="Q172" s="37"/>
      <c r="R172" s="37" t="s">
        <v>31</v>
      </c>
      <c r="S172" s="37"/>
      <c r="T172" s="37" t="s">
        <v>204</v>
      </c>
      <c r="U172" s="37" t="s">
        <v>350</v>
      </c>
      <c r="V172" s="50" t="s">
        <v>31</v>
      </c>
      <c r="W172" s="37"/>
      <c r="X172" s="37" t="s">
        <v>31</v>
      </c>
      <c r="Y172" s="37"/>
      <c r="Z172" s="37" t="s">
        <v>31</v>
      </c>
      <c r="AA172" s="37"/>
      <c r="AB172" s="37" t="s">
        <v>31</v>
      </c>
      <c r="AC172" s="37"/>
      <c r="AD172" s="37" t="s">
        <v>31</v>
      </c>
      <c r="AE172" s="37"/>
      <c r="AH172" s="17"/>
      <c r="AI172" s="17" t="b">
        <f t="shared" si="9"/>
        <v>1</v>
      </c>
      <c r="AJ172" s="17" t="b">
        <f t="shared" si="10"/>
        <v>1</v>
      </c>
      <c r="AK172" s="17" t="str">
        <f t="shared" si="11"/>
        <v>EM00000000</v>
      </c>
    </row>
    <row r="173" spans="1:37" ht="15" customHeight="1" x14ac:dyDescent="0.25">
      <c r="A173" s="37" t="s">
        <v>204</v>
      </c>
      <c r="B173" s="37">
        <v>1324</v>
      </c>
      <c r="C173" s="37" t="s">
        <v>350</v>
      </c>
      <c r="D173" s="37">
        <v>7</v>
      </c>
      <c r="E173" s="47" t="s">
        <v>205</v>
      </c>
      <c r="F173" s="48">
        <v>46266</v>
      </c>
      <c r="G173" s="48">
        <v>46295</v>
      </c>
      <c r="H173" s="37"/>
      <c r="I173" s="37"/>
      <c r="J173" s="51"/>
      <c r="K173" s="51"/>
      <c r="L173" s="37"/>
      <c r="M173" s="37"/>
      <c r="N173" s="37"/>
      <c r="O173" s="37"/>
      <c r="P173" s="52" t="s">
        <v>31</v>
      </c>
      <c r="Q173" s="37"/>
      <c r="R173" s="37" t="s">
        <v>31</v>
      </c>
      <c r="S173" s="37"/>
      <c r="T173" s="37" t="s">
        <v>204</v>
      </c>
      <c r="U173" s="37" t="s">
        <v>350</v>
      </c>
      <c r="V173" s="50" t="s">
        <v>31</v>
      </c>
      <c r="W173" s="37"/>
      <c r="X173" s="37" t="s">
        <v>31</v>
      </c>
      <c r="Y173" s="37"/>
      <c r="Z173" s="37" t="s">
        <v>31</v>
      </c>
      <c r="AA173" s="37"/>
      <c r="AB173" s="37" t="s">
        <v>31</v>
      </c>
      <c r="AC173" s="37"/>
      <c r="AD173" s="37" t="s">
        <v>31</v>
      </c>
      <c r="AE173" s="37"/>
      <c r="AH173" s="17"/>
      <c r="AI173" s="17" t="b">
        <f t="shared" si="9"/>
        <v>1</v>
      </c>
      <c r="AJ173" s="17" t="b">
        <f t="shared" si="10"/>
        <v>1</v>
      </c>
      <c r="AK173" s="17" t="str">
        <f t="shared" si="11"/>
        <v>EM00000000</v>
      </c>
    </row>
    <row r="174" spans="1:37" ht="15" customHeight="1" x14ac:dyDescent="0.25">
      <c r="A174" s="37" t="s">
        <v>204</v>
      </c>
      <c r="B174" s="37">
        <v>1325</v>
      </c>
      <c r="C174" s="37" t="s">
        <v>350</v>
      </c>
      <c r="D174" s="37">
        <v>7</v>
      </c>
      <c r="E174" s="47" t="s">
        <v>205</v>
      </c>
      <c r="F174" s="48">
        <v>46266</v>
      </c>
      <c r="G174" s="48">
        <v>46295</v>
      </c>
      <c r="H174" s="37"/>
      <c r="I174" s="37"/>
      <c r="J174" s="51"/>
      <c r="K174" s="51"/>
      <c r="L174" s="37"/>
      <c r="M174" s="37"/>
      <c r="N174" s="37"/>
      <c r="O174" s="37"/>
      <c r="P174" s="37" t="s">
        <v>31</v>
      </c>
      <c r="Q174" s="37"/>
      <c r="R174" s="37" t="s">
        <v>31</v>
      </c>
      <c r="S174" s="37"/>
      <c r="T174" s="37" t="s">
        <v>204</v>
      </c>
      <c r="U174" s="37" t="s">
        <v>350</v>
      </c>
      <c r="V174" s="50" t="s">
        <v>31</v>
      </c>
      <c r="W174" s="37"/>
      <c r="X174" s="37" t="s">
        <v>31</v>
      </c>
      <c r="Y174" s="37"/>
      <c r="Z174" s="37" t="s">
        <v>31</v>
      </c>
      <c r="AA174" s="37"/>
      <c r="AB174" s="37" t="s">
        <v>31</v>
      </c>
      <c r="AC174" s="37"/>
      <c r="AD174" s="37" t="s">
        <v>31</v>
      </c>
      <c r="AE174" s="37"/>
      <c r="AH174" s="17"/>
      <c r="AI174" s="17" t="b">
        <f t="shared" si="9"/>
        <v>1</v>
      </c>
      <c r="AJ174" s="17" t="b">
        <f t="shared" si="10"/>
        <v>1</v>
      </c>
      <c r="AK174" s="17" t="str">
        <f t="shared" si="11"/>
        <v>EM00000000</v>
      </c>
    </row>
    <row r="175" spans="1:37" ht="15" customHeight="1" x14ac:dyDescent="0.25">
      <c r="A175" s="37" t="s">
        <v>204</v>
      </c>
      <c r="B175" s="37">
        <v>1326</v>
      </c>
      <c r="C175" s="37" t="s">
        <v>350</v>
      </c>
      <c r="D175" s="37">
        <v>7</v>
      </c>
      <c r="E175" s="47" t="s">
        <v>205</v>
      </c>
      <c r="F175" s="48">
        <v>46266</v>
      </c>
      <c r="G175" s="48">
        <v>46295</v>
      </c>
      <c r="H175" s="37"/>
      <c r="I175" s="37"/>
      <c r="J175" s="51"/>
      <c r="K175" s="51"/>
      <c r="L175" s="37"/>
      <c r="M175" s="37"/>
      <c r="N175" s="37"/>
      <c r="O175" s="37"/>
      <c r="P175" s="37" t="s">
        <v>31</v>
      </c>
      <c r="Q175" s="37"/>
      <c r="R175" s="37" t="s">
        <v>31</v>
      </c>
      <c r="S175" s="37"/>
      <c r="T175" s="37" t="s">
        <v>204</v>
      </c>
      <c r="U175" s="37" t="s">
        <v>350</v>
      </c>
      <c r="V175" s="50" t="s">
        <v>31</v>
      </c>
      <c r="W175" s="37"/>
      <c r="X175" s="37" t="s">
        <v>31</v>
      </c>
      <c r="Y175" s="37"/>
      <c r="Z175" s="37" t="s">
        <v>31</v>
      </c>
      <c r="AA175" s="37"/>
      <c r="AB175" s="37" t="s">
        <v>31</v>
      </c>
      <c r="AC175" s="37"/>
      <c r="AD175" s="37" t="s">
        <v>31</v>
      </c>
      <c r="AE175" s="37"/>
      <c r="AH175" s="17"/>
      <c r="AI175" s="17" t="b">
        <f t="shared" si="9"/>
        <v>1</v>
      </c>
      <c r="AJ175" s="17" t="b">
        <f t="shared" si="10"/>
        <v>1</v>
      </c>
      <c r="AK175" s="17" t="str">
        <f t="shared" si="11"/>
        <v>EM00000000</v>
      </c>
    </row>
    <row r="176" spans="1:37" ht="15" customHeight="1" x14ac:dyDescent="0.25">
      <c r="A176" s="37" t="s">
        <v>204</v>
      </c>
      <c r="B176" s="37">
        <v>1327</v>
      </c>
      <c r="C176" s="37" t="s">
        <v>350</v>
      </c>
      <c r="D176" s="37">
        <v>7</v>
      </c>
      <c r="E176" s="47" t="s">
        <v>205</v>
      </c>
      <c r="F176" s="48">
        <v>46266</v>
      </c>
      <c r="G176" s="48">
        <v>46295</v>
      </c>
      <c r="H176" s="37"/>
      <c r="I176" s="37"/>
      <c r="J176" s="51"/>
      <c r="K176" s="51"/>
      <c r="L176" s="37"/>
      <c r="M176" s="37"/>
      <c r="N176" s="37"/>
      <c r="O176" s="37"/>
      <c r="P176" s="51" t="s">
        <v>31</v>
      </c>
      <c r="Q176" s="37"/>
      <c r="R176" s="37" t="s">
        <v>31</v>
      </c>
      <c r="S176" s="37"/>
      <c r="T176" s="37" t="s">
        <v>204</v>
      </c>
      <c r="U176" s="37" t="s">
        <v>350</v>
      </c>
      <c r="V176" s="50" t="s">
        <v>31</v>
      </c>
      <c r="W176" s="37"/>
      <c r="X176" s="37" t="s">
        <v>31</v>
      </c>
      <c r="Y176" s="37"/>
      <c r="Z176" s="37" t="s">
        <v>31</v>
      </c>
      <c r="AA176" s="37"/>
      <c r="AB176" s="37" t="s">
        <v>31</v>
      </c>
      <c r="AC176" s="37"/>
      <c r="AD176" s="37" t="s">
        <v>31</v>
      </c>
      <c r="AE176" s="37"/>
      <c r="AH176" s="17"/>
      <c r="AI176" s="17" t="b">
        <f t="shared" si="9"/>
        <v>1</v>
      </c>
      <c r="AJ176" s="17" t="b">
        <f t="shared" si="10"/>
        <v>1</v>
      </c>
      <c r="AK176" s="17" t="str">
        <f t="shared" si="11"/>
        <v>EM00000000</v>
      </c>
    </row>
    <row r="177" spans="1:37" ht="15" customHeight="1" x14ac:dyDescent="0.25">
      <c r="A177" s="50" t="s">
        <v>202</v>
      </c>
      <c r="B177" s="37">
        <v>1310</v>
      </c>
      <c r="C177" s="37" t="s">
        <v>203</v>
      </c>
      <c r="D177" s="37">
        <v>8</v>
      </c>
      <c r="E177" s="47" t="s">
        <v>205</v>
      </c>
      <c r="F177" s="48">
        <v>46266</v>
      </c>
      <c r="G177" s="48">
        <v>46295</v>
      </c>
      <c r="H177" s="37"/>
      <c r="I177" s="37"/>
      <c r="J177" s="37"/>
      <c r="K177" s="51"/>
      <c r="L177" s="37"/>
      <c r="M177" s="37"/>
      <c r="N177" s="37"/>
      <c r="O177" s="37"/>
      <c r="P177" s="51" t="s">
        <v>31</v>
      </c>
      <c r="Q177" s="37"/>
      <c r="R177" s="37" t="s">
        <v>31</v>
      </c>
      <c r="S177" s="37"/>
      <c r="T177" s="37"/>
      <c r="U177" s="37"/>
      <c r="V177" s="50" t="s">
        <v>202</v>
      </c>
      <c r="W177" s="37" t="s">
        <v>203</v>
      </c>
      <c r="X177" s="37" t="s">
        <v>31</v>
      </c>
      <c r="Y177" s="37"/>
      <c r="Z177" s="37" t="s">
        <v>31</v>
      </c>
      <c r="AA177" s="37"/>
      <c r="AB177" s="37" t="s">
        <v>31</v>
      </c>
      <c r="AC177" s="37"/>
      <c r="AD177" s="37" t="s">
        <v>31</v>
      </c>
      <c r="AE177" s="37"/>
      <c r="AH177" s="17"/>
      <c r="AI177" s="17" t="b">
        <f t="shared" si="9"/>
        <v>1</v>
      </c>
      <c r="AJ177" s="17" t="b">
        <f t="shared" si="10"/>
        <v>1</v>
      </c>
      <c r="AK177" s="17" t="str">
        <f t="shared" si="11"/>
        <v>EM00000000</v>
      </c>
    </row>
    <row r="178" spans="1:37" ht="15" customHeight="1" x14ac:dyDescent="0.25">
      <c r="A178" s="50" t="s">
        <v>202</v>
      </c>
      <c r="B178" s="37">
        <v>1311</v>
      </c>
      <c r="C178" s="37" t="s">
        <v>203</v>
      </c>
      <c r="D178" s="37">
        <v>8</v>
      </c>
      <c r="E178" s="47" t="s">
        <v>205</v>
      </c>
      <c r="F178" s="48">
        <v>46266</v>
      </c>
      <c r="G178" s="48">
        <v>46295</v>
      </c>
      <c r="H178" s="37"/>
      <c r="I178" s="37"/>
      <c r="J178" s="37"/>
      <c r="K178" s="51"/>
      <c r="L178" s="37"/>
      <c r="M178" s="37"/>
      <c r="N178" s="37"/>
      <c r="O178" s="37"/>
      <c r="P178" s="52" t="s">
        <v>31</v>
      </c>
      <c r="Q178" s="37"/>
      <c r="R178" s="37" t="s">
        <v>31</v>
      </c>
      <c r="S178" s="37"/>
      <c r="T178" s="37"/>
      <c r="U178" s="37"/>
      <c r="V178" s="50" t="s">
        <v>202</v>
      </c>
      <c r="W178" s="37" t="s">
        <v>203</v>
      </c>
      <c r="X178" s="37" t="s">
        <v>31</v>
      </c>
      <c r="Y178" s="37"/>
      <c r="Z178" s="37" t="s">
        <v>31</v>
      </c>
      <c r="AA178" s="37"/>
      <c r="AB178" s="37" t="s">
        <v>31</v>
      </c>
      <c r="AC178" s="37"/>
      <c r="AD178" s="37" t="s">
        <v>31</v>
      </c>
      <c r="AE178" s="37"/>
      <c r="AH178" s="17"/>
      <c r="AI178" s="17" t="b">
        <f t="shared" si="9"/>
        <v>1</v>
      </c>
      <c r="AJ178" s="17" t="b">
        <f t="shared" si="10"/>
        <v>1</v>
      </c>
      <c r="AK178" s="17" t="str">
        <f t="shared" si="11"/>
        <v>EM00000000</v>
      </c>
    </row>
    <row r="179" spans="1:37" ht="15" customHeight="1" x14ac:dyDescent="0.25">
      <c r="A179" s="50" t="s">
        <v>202</v>
      </c>
      <c r="B179" s="37">
        <v>1312</v>
      </c>
      <c r="C179" s="37" t="s">
        <v>203</v>
      </c>
      <c r="D179" s="37">
        <v>8</v>
      </c>
      <c r="E179" s="47" t="s">
        <v>205</v>
      </c>
      <c r="F179" s="48">
        <v>46266</v>
      </c>
      <c r="G179" s="48">
        <v>46295</v>
      </c>
      <c r="H179" s="37"/>
      <c r="I179" s="37"/>
      <c r="J179" s="37"/>
      <c r="K179" s="51"/>
      <c r="L179" s="37"/>
      <c r="M179" s="37"/>
      <c r="N179" s="37"/>
      <c r="O179" s="37"/>
      <c r="P179" s="37" t="s">
        <v>31</v>
      </c>
      <c r="Q179" s="37"/>
      <c r="R179" s="37" t="s">
        <v>31</v>
      </c>
      <c r="S179" s="37"/>
      <c r="T179" s="37"/>
      <c r="U179" s="37"/>
      <c r="V179" s="50" t="s">
        <v>202</v>
      </c>
      <c r="W179" s="37" t="s">
        <v>203</v>
      </c>
      <c r="X179" s="37" t="s">
        <v>31</v>
      </c>
      <c r="Y179" s="37"/>
      <c r="Z179" s="37" t="s">
        <v>31</v>
      </c>
      <c r="AA179" s="37"/>
      <c r="AB179" s="37" t="s">
        <v>31</v>
      </c>
      <c r="AC179" s="37"/>
      <c r="AD179" s="37" t="s">
        <v>31</v>
      </c>
      <c r="AE179" s="37"/>
      <c r="AH179" s="17"/>
      <c r="AI179" s="17" t="b">
        <f t="shared" si="9"/>
        <v>1</v>
      </c>
      <c r="AJ179" s="17" t="b">
        <f t="shared" si="10"/>
        <v>1</v>
      </c>
      <c r="AK179" s="17" t="str">
        <f t="shared" si="11"/>
        <v>EM00000000</v>
      </c>
    </row>
    <row r="180" spans="1:37" ht="15" customHeight="1" x14ac:dyDescent="0.25">
      <c r="A180" s="50" t="s">
        <v>202</v>
      </c>
      <c r="B180" s="37">
        <v>1314</v>
      </c>
      <c r="C180" s="37" t="s">
        <v>203</v>
      </c>
      <c r="D180" s="37">
        <v>8</v>
      </c>
      <c r="E180" s="47" t="s">
        <v>205</v>
      </c>
      <c r="F180" s="48">
        <v>46266</v>
      </c>
      <c r="G180" s="48">
        <v>46295</v>
      </c>
      <c r="H180" s="37"/>
      <c r="I180" s="37"/>
      <c r="J180" s="37"/>
      <c r="K180" s="51"/>
      <c r="L180" s="37"/>
      <c r="M180" s="37"/>
      <c r="N180" s="37"/>
      <c r="O180" s="37"/>
      <c r="P180" s="37" t="s">
        <v>31</v>
      </c>
      <c r="Q180" s="37"/>
      <c r="R180" s="37" t="s">
        <v>31</v>
      </c>
      <c r="S180" s="37"/>
      <c r="T180" s="37"/>
      <c r="U180" s="37"/>
      <c r="V180" s="50" t="s">
        <v>202</v>
      </c>
      <c r="W180" s="37" t="s">
        <v>203</v>
      </c>
      <c r="X180" s="37" t="s">
        <v>31</v>
      </c>
      <c r="Y180" s="37"/>
      <c r="Z180" s="37" t="s">
        <v>31</v>
      </c>
      <c r="AA180" s="37"/>
      <c r="AB180" s="37" t="s">
        <v>31</v>
      </c>
      <c r="AC180" s="37"/>
      <c r="AD180" s="37" t="s">
        <v>31</v>
      </c>
      <c r="AE180" s="37"/>
      <c r="AH180" s="17"/>
      <c r="AI180" s="17" t="b">
        <f t="shared" si="9"/>
        <v>1</v>
      </c>
      <c r="AJ180" s="17" t="b">
        <f t="shared" si="10"/>
        <v>1</v>
      </c>
      <c r="AK180" s="17" t="str">
        <f t="shared" si="11"/>
        <v>EM00000000</v>
      </c>
    </row>
    <row r="181" spans="1:37" ht="15" customHeight="1" x14ac:dyDescent="0.25">
      <c r="A181" s="50" t="s">
        <v>202</v>
      </c>
      <c r="B181" s="37">
        <v>1329</v>
      </c>
      <c r="C181" s="37" t="s">
        <v>203</v>
      </c>
      <c r="D181" s="37">
        <v>8</v>
      </c>
      <c r="E181" s="47" t="s">
        <v>205</v>
      </c>
      <c r="F181" s="48">
        <v>46266</v>
      </c>
      <c r="G181" s="48">
        <v>46295</v>
      </c>
      <c r="H181" s="37"/>
      <c r="I181" s="37"/>
      <c r="J181" s="37"/>
      <c r="K181" s="51"/>
      <c r="L181" s="37"/>
      <c r="M181" s="37"/>
      <c r="N181" s="37"/>
      <c r="O181" s="37"/>
      <c r="P181" s="51" t="s">
        <v>31</v>
      </c>
      <c r="Q181" s="37"/>
      <c r="R181" s="37" t="s">
        <v>31</v>
      </c>
      <c r="S181" s="37"/>
      <c r="T181" s="37"/>
      <c r="U181" s="37"/>
      <c r="V181" s="50" t="s">
        <v>202</v>
      </c>
      <c r="W181" s="37" t="s">
        <v>203</v>
      </c>
      <c r="X181" s="37" t="s">
        <v>31</v>
      </c>
      <c r="Y181" s="37"/>
      <c r="Z181" s="37" t="s">
        <v>31</v>
      </c>
      <c r="AA181" s="37"/>
      <c r="AB181" s="37" t="s">
        <v>31</v>
      </c>
      <c r="AC181" s="37"/>
      <c r="AD181" s="37" t="s">
        <v>31</v>
      </c>
      <c r="AE181" s="37"/>
      <c r="AH181" s="17"/>
      <c r="AI181" s="17" t="b">
        <f t="shared" si="9"/>
        <v>1</v>
      </c>
      <c r="AJ181" s="17" t="b">
        <f t="shared" si="10"/>
        <v>1</v>
      </c>
      <c r="AK181" s="17" t="str">
        <f t="shared" si="11"/>
        <v>EM00000000</v>
      </c>
    </row>
    <row r="182" spans="1:37" ht="15" customHeight="1" x14ac:dyDescent="0.25">
      <c r="A182" s="50" t="s">
        <v>202</v>
      </c>
      <c r="B182" s="37">
        <v>1334</v>
      </c>
      <c r="C182" s="37" t="s">
        <v>203</v>
      </c>
      <c r="D182" s="37">
        <v>8</v>
      </c>
      <c r="E182" s="47" t="s">
        <v>205</v>
      </c>
      <c r="F182" s="48">
        <v>46266</v>
      </c>
      <c r="G182" s="48">
        <v>46295</v>
      </c>
      <c r="H182" s="37"/>
      <c r="I182" s="37"/>
      <c r="J182" s="37"/>
      <c r="K182" s="51"/>
      <c r="L182" s="37"/>
      <c r="M182" s="37"/>
      <c r="N182" s="37"/>
      <c r="O182" s="37"/>
      <c r="P182" s="51" t="s">
        <v>31</v>
      </c>
      <c r="Q182" s="37"/>
      <c r="R182" s="37" t="s">
        <v>31</v>
      </c>
      <c r="S182" s="37"/>
      <c r="T182" s="37"/>
      <c r="U182" s="37"/>
      <c r="V182" s="50" t="s">
        <v>202</v>
      </c>
      <c r="W182" s="37" t="s">
        <v>203</v>
      </c>
      <c r="X182" s="37" t="s">
        <v>31</v>
      </c>
      <c r="Y182" s="37"/>
      <c r="Z182" s="37" t="s">
        <v>31</v>
      </c>
      <c r="AA182" s="37"/>
      <c r="AB182" s="37" t="s">
        <v>31</v>
      </c>
      <c r="AC182" s="37"/>
      <c r="AD182" s="37" t="s">
        <v>31</v>
      </c>
      <c r="AE182" s="37"/>
      <c r="AH182" s="17"/>
      <c r="AI182" s="17" t="b">
        <f t="shared" si="9"/>
        <v>1</v>
      </c>
      <c r="AJ182" s="17" t="b">
        <f t="shared" si="10"/>
        <v>1</v>
      </c>
      <c r="AK182" s="17" t="str">
        <f t="shared" si="11"/>
        <v>EM00000000</v>
      </c>
    </row>
    <row r="183" spans="1:37" ht="13.15" customHeight="1" x14ac:dyDescent="0.25">
      <c r="A183" s="75" t="str">
        <f>_xlfn.XLOOKUP(C183,[1]Sheet2!$D:$D,[1]Sheet2!$C:$C)</f>
        <v>EM00015620</v>
      </c>
      <c r="B183" s="37">
        <v>1320</v>
      </c>
      <c r="C183" s="51" t="s">
        <v>323</v>
      </c>
      <c r="D183" s="37">
        <v>1</v>
      </c>
      <c r="E183" s="47" t="s">
        <v>205</v>
      </c>
      <c r="F183" s="48">
        <v>46266</v>
      </c>
      <c r="G183" s="48">
        <v>46295</v>
      </c>
      <c r="H183" s="37" t="s">
        <v>351</v>
      </c>
      <c r="I183" s="51" t="s">
        <v>323</v>
      </c>
      <c r="J183" s="51" t="s">
        <v>356</v>
      </c>
      <c r="K183" s="51" t="s">
        <v>330</v>
      </c>
      <c r="L183" s="37"/>
      <c r="M183" s="37"/>
      <c r="N183" s="37" t="s">
        <v>368</v>
      </c>
      <c r="O183" s="37" t="s">
        <v>349</v>
      </c>
      <c r="P183" s="52" t="s">
        <v>31</v>
      </c>
      <c r="Q183" s="37"/>
      <c r="R183" s="37" t="s">
        <v>31</v>
      </c>
      <c r="S183" s="37"/>
      <c r="T183" s="37" t="s">
        <v>204</v>
      </c>
      <c r="U183" s="37" t="s">
        <v>350</v>
      </c>
      <c r="V183" s="50"/>
      <c r="W183" s="37"/>
      <c r="X183" s="37" t="s">
        <v>31</v>
      </c>
      <c r="Y183" s="37"/>
      <c r="Z183" s="37" t="s">
        <v>31</v>
      </c>
      <c r="AA183" s="37"/>
      <c r="AB183" s="37" t="s">
        <v>31</v>
      </c>
      <c r="AC183" s="37"/>
      <c r="AD183" s="37" t="s">
        <v>31</v>
      </c>
      <c r="AE183" s="37"/>
      <c r="AH183" s="17"/>
      <c r="AI183" s="17" t="b">
        <f t="shared" si="9"/>
        <v>1</v>
      </c>
      <c r="AJ183" s="17" t="b">
        <f t="shared" si="10"/>
        <v>1</v>
      </c>
      <c r="AK183" s="17" t="str">
        <f t="shared" si="11"/>
        <v>EM00009353</v>
      </c>
    </row>
    <row r="184" spans="1:37" ht="13.15" customHeight="1" x14ac:dyDescent="0.25">
      <c r="A184" s="75" t="str">
        <f>_xlfn.XLOOKUP(C184,[1]Sheet2!$D:$D,[1]Sheet2!$C:$C)</f>
        <v>EM00015604</v>
      </c>
      <c r="B184" s="37">
        <v>1320</v>
      </c>
      <c r="C184" s="51" t="s">
        <v>324</v>
      </c>
      <c r="D184" s="37">
        <v>1</v>
      </c>
      <c r="E184" s="47" t="s">
        <v>205</v>
      </c>
      <c r="F184" s="48">
        <v>46266</v>
      </c>
      <c r="G184" s="48">
        <v>46295</v>
      </c>
      <c r="H184" s="37" t="s">
        <v>352</v>
      </c>
      <c r="I184" s="51" t="s">
        <v>324</v>
      </c>
      <c r="J184" s="51" t="s">
        <v>356</v>
      </c>
      <c r="K184" s="51" t="s">
        <v>330</v>
      </c>
      <c r="L184" s="37"/>
      <c r="M184" s="37"/>
      <c r="N184" s="37" t="s">
        <v>368</v>
      </c>
      <c r="O184" s="37" t="s">
        <v>349</v>
      </c>
      <c r="P184" s="37" t="s">
        <v>31</v>
      </c>
      <c r="Q184" s="37"/>
      <c r="R184" s="37" t="s">
        <v>31</v>
      </c>
      <c r="S184" s="37"/>
      <c r="T184" s="37" t="s">
        <v>204</v>
      </c>
      <c r="U184" s="37" t="s">
        <v>350</v>
      </c>
      <c r="V184" s="50"/>
      <c r="W184" s="37"/>
      <c r="X184" s="37" t="s">
        <v>31</v>
      </c>
      <c r="Y184" s="37"/>
      <c r="Z184" s="37" t="s">
        <v>31</v>
      </c>
      <c r="AA184" s="37"/>
      <c r="AB184" s="37" t="s">
        <v>31</v>
      </c>
      <c r="AC184" s="37"/>
      <c r="AD184" s="37" t="s">
        <v>31</v>
      </c>
      <c r="AE184" s="37"/>
      <c r="AH184" s="17"/>
      <c r="AI184" s="17" t="b">
        <f t="shared" si="9"/>
        <v>1</v>
      </c>
      <c r="AJ184" s="17" t="b">
        <f t="shared" si="10"/>
        <v>1</v>
      </c>
      <c r="AK184" s="17" t="str">
        <f t="shared" si="11"/>
        <v>EM00009353</v>
      </c>
    </row>
    <row r="185" spans="1:37" ht="13.15" customHeight="1" x14ac:dyDescent="0.25">
      <c r="A185" s="75" t="str">
        <f>_xlfn.XLOOKUP(C185,[1]Sheet2!$D:$D,[1]Sheet2!$C:$C)</f>
        <v>EM00015622</v>
      </c>
      <c r="B185" s="37">
        <v>1320</v>
      </c>
      <c r="C185" s="51" t="s">
        <v>325</v>
      </c>
      <c r="D185" s="37">
        <v>1</v>
      </c>
      <c r="E185" s="47" t="s">
        <v>205</v>
      </c>
      <c r="F185" s="48">
        <v>46266</v>
      </c>
      <c r="G185" s="48">
        <v>46295</v>
      </c>
      <c r="H185" s="37" t="s">
        <v>353</v>
      </c>
      <c r="I185" s="51" t="s">
        <v>325</v>
      </c>
      <c r="J185" s="51" t="s">
        <v>356</v>
      </c>
      <c r="K185" s="51" t="s">
        <v>330</v>
      </c>
      <c r="L185" s="37"/>
      <c r="M185" s="37"/>
      <c r="N185" s="37" t="s">
        <v>368</v>
      </c>
      <c r="O185" s="37" t="s">
        <v>349</v>
      </c>
      <c r="P185" s="37" t="s">
        <v>31</v>
      </c>
      <c r="Q185" s="37"/>
      <c r="R185" s="37" t="s">
        <v>31</v>
      </c>
      <c r="S185" s="37"/>
      <c r="T185" s="37" t="s">
        <v>204</v>
      </c>
      <c r="U185" s="37" t="s">
        <v>350</v>
      </c>
      <c r="V185" s="50"/>
      <c r="W185" s="37"/>
      <c r="X185" s="37" t="s">
        <v>31</v>
      </c>
      <c r="Y185" s="37"/>
      <c r="Z185" s="37" t="s">
        <v>31</v>
      </c>
      <c r="AA185" s="37"/>
      <c r="AB185" s="37" t="s">
        <v>31</v>
      </c>
      <c r="AC185" s="37"/>
      <c r="AD185" s="37" t="s">
        <v>31</v>
      </c>
      <c r="AE185" s="37"/>
      <c r="AH185" s="17"/>
      <c r="AI185" s="17" t="b">
        <f t="shared" si="9"/>
        <v>1</v>
      </c>
      <c r="AJ185" s="17" t="b">
        <f t="shared" si="10"/>
        <v>1</v>
      </c>
      <c r="AK185" s="17" t="str">
        <f t="shared" si="11"/>
        <v>EM00009353</v>
      </c>
    </row>
    <row r="186" spans="1:37" ht="13.15" customHeight="1" x14ac:dyDescent="0.25">
      <c r="A186" s="75" t="str">
        <f>_xlfn.XLOOKUP(C186,[1]Sheet2!$D:$D,[1]Sheet2!$C:$C)</f>
        <v>EM00016492</v>
      </c>
      <c r="B186" s="37">
        <v>1320</v>
      </c>
      <c r="C186" s="51" t="s">
        <v>326</v>
      </c>
      <c r="D186" s="37">
        <v>1</v>
      </c>
      <c r="E186" s="47" t="s">
        <v>205</v>
      </c>
      <c r="F186" s="48">
        <v>46266</v>
      </c>
      <c r="G186" s="48">
        <v>46295</v>
      </c>
      <c r="H186" s="37" t="s">
        <v>709</v>
      </c>
      <c r="I186" s="51" t="s">
        <v>326</v>
      </c>
      <c r="J186" s="51" t="s">
        <v>356</v>
      </c>
      <c r="K186" s="51" t="s">
        <v>330</v>
      </c>
      <c r="L186" s="37"/>
      <c r="M186" s="37"/>
      <c r="N186" s="37" t="s">
        <v>368</v>
      </c>
      <c r="O186" s="37" t="s">
        <v>349</v>
      </c>
      <c r="P186" s="51" t="s">
        <v>31</v>
      </c>
      <c r="Q186" s="37"/>
      <c r="R186" s="37" t="s">
        <v>31</v>
      </c>
      <c r="S186" s="37"/>
      <c r="T186" s="37" t="s">
        <v>204</v>
      </c>
      <c r="U186" s="37" t="s">
        <v>350</v>
      </c>
      <c r="V186" s="50"/>
      <c r="W186" s="37"/>
      <c r="X186" s="37" t="s">
        <v>31</v>
      </c>
      <c r="Y186" s="37"/>
      <c r="Z186" s="37" t="s">
        <v>31</v>
      </c>
      <c r="AA186" s="37"/>
      <c r="AB186" s="37" t="s">
        <v>31</v>
      </c>
      <c r="AC186" s="37"/>
      <c r="AD186" s="37" t="s">
        <v>31</v>
      </c>
      <c r="AE186" s="37"/>
      <c r="AH186" s="17"/>
      <c r="AI186" s="17" t="b">
        <f t="shared" si="9"/>
        <v>1</v>
      </c>
      <c r="AJ186" s="17" t="b">
        <f t="shared" si="10"/>
        <v>1</v>
      </c>
      <c r="AK186" s="17" t="str">
        <f t="shared" si="11"/>
        <v>EM00009353</v>
      </c>
    </row>
    <row r="187" spans="1:37" ht="13.15" customHeight="1" x14ac:dyDescent="0.25">
      <c r="A187" s="75" t="str">
        <f>_xlfn.XLOOKUP(C187,[1]Sheet2!$D:$D,[1]Sheet2!$C:$C)</f>
        <v>EM00016255</v>
      </c>
      <c r="B187" s="37">
        <v>1320</v>
      </c>
      <c r="C187" s="51" t="s">
        <v>327</v>
      </c>
      <c r="D187" s="37">
        <v>1</v>
      </c>
      <c r="E187" s="47" t="s">
        <v>205</v>
      </c>
      <c r="F187" s="48">
        <v>46266</v>
      </c>
      <c r="G187" s="48">
        <v>46295</v>
      </c>
      <c r="H187" s="37" t="s">
        <v>468</v>
      </c>
      <c r="I187" s="51" t="s">
        <v>327</v>
      </c>
      <c r="J187" s="51" t="s">
        <v>356</v>
      </c>
      <c r="K187" s="51" t="s">
        <v>330</v>
      </c>
      <c r="L187" s="37"/>
      <c r="M187" s="37"/>
      <c r="N187" s="37" t="s">
        <v>368</v>
      </c>
      <c r="O187" s="37" t="s">
        <v>349</v>
      </c>
      <c r="P187" s="51" t="s">
        <v>31</v>
      </c>
      <c r="Q187" s="37"/>
      <c r="R187" s="37" t="s">
        <v>31</v>
      </c>
      <c r="S187" s="37"/>
      <c r="T187" s="37" t="s">
        <v>204</v>
      </c>
      <c r="U187" s="37" t="s">
        <v>350</v>
      </c>
      <c r="V187" s="50"/>
      <c r="W187" s="37"/>
      <c r="X187" s="37" t="s">
        <v>31</v>
      </c>
      <c r="Y187" s="37"/>
      <c r="Z187" s="37" t="s">
        <v>31</v>
      </c>
      <c r="AA187" s="37"/>
      <c r="AB187" s="37" t="s">
        <v>31</v>
      </c>
      <c r="AC187" s="37"/>
      <c r="AD187" s="37" t="s">
        <v>31</v>
      </c>
      <c r="AE187" s="37"/>
      <c r="AH187" s="17"/>
      <c r="AI187" s="17" t="b">
        <f t="shared" si="9"/>
        <v>1</v>
      </c>
      <c r="AJ187" s="17" t="b">
        <f t="shared" si="10"/>
        <v>1</v>
      </c>
      <c r="AK187" s="17" t="str">
        <f t="shared" si="11"/>
        <v>EM00009353</v>
      </c>
    </row>
    <row r="188" spans="1:37" ht="13.15" customHeight="1" x14ac:dyDescent="0.25">
      <c r="A188" s="75" t="str">
        <f>_xlfn.XLOOKUP(C188,[1]Sheet2!$D:$D,[1]Sheet2!$C:$C)</f>
        <v>EM00016058</v>
      </c>
      <c r="B188" s="37">
        <v>1320</v>
      </c>
      <c r="C188" s="51" t="s">
        <v>328</v>
      </c>
      <c r="D188" s="37">
        <v>1</v>
      </c>
      <c r="E188" s="47" t="s">
        <v>205</v>
      </c>
      <c r="F188" s="48">
        <v>46266</v>
      </c>
      <c r="G188" s="48">
        <v>46295</v>
      </c>
      <c r="H188" s="37" t="s">
        <v>355</v>
      </c>
      <c r="I188" s="51" t="s">
        <v>328</v>
      </c>
      <c r="J188" s="51" t="s">
        <v>356</v>
      </c>
      <c r="K188" s="51" t="s">
        <v>330</v>
      </c>
      <c r="L188" s="37"/>
      <c r="M188" s="37"/>
      <c r="N188" s="37" t="s">
        <v>368</v>
      </c>
      <c r="O188" s="37" t="s">
        <v>349</v>
      </c>
      <c r="P188" s="52" t="s">
        <v>31</v>
      </c>
      <c r="Q188" s="37"/>
      <c r="R188" s="37" t="s">
        <v>31</v>
      </c>
      <c r="S188" s="37"/>
      <c r="T188" s="37" t="s">
        <v>204</v>
      </c>
      <c r="U188" s="37" t="s">
        <v>350</v>
      </c>
      <c r="V188" s="50"/>
      <c r="W188" s="37"/>
      <c r="X188" s="37" t="s">
        <v>31</v>
      </c>
      <c r="Y188" s="37"/>
      <c r="Z188" s="37" t="s">
        <v>31</v>
      </c>
      <c r="AA188" s="37"/>
      <c r="AB188" s="37" t="s">
        <v>31</v>
      </c>
      <c r="AC188" s="37"/>
      <c r="AD188" s="37" t="s">
        <v>31</v>
      </c>
      <c r="AE188" s="37"/>
      <c r="AH188" s="17"/>
      <c r="AI188" s="17" t="b">
        <f t="shared" si="9"/>
        <v>1</v>
      </c>
      <c r="AJ188" s="17" t="b">
        <f t="shared" si="10"/>
        <v>1</v>
      </c>
      <c r="AK188" s="17" t="str">
        <f t="shared" si="11"/>
        <v>EM00009353</v>
      </c>
    </row>
    <row r="189" spans="1:37" ht="13.15" customHeight="1" x14ac:dyDescent="0.25">
      <c r="A189" s="75" t="str">
        <f>_xlfn.XLOOKUP(C189,[1]Sheet2!$D:$D,[1]Sheet2!$C:$C)</f>
        <v>EM00016256</v>
      </c>
      <c r="B189" s="37">
        <v>1320</v>
      </c>
      <c r="C189" s="51" t="s">
        <v>329</v>
      </c>
      <c r="D189" s="37">
        <v>1</v>
      </c>
      <c r="E189" s="47" t="s">
        <v>205</v>
      </c>
      <c r="F189" s="48">
        <v>46266</v>
      </c>
      <c r="G189" s="48">
        <v>46295</v>
      </c>
      <c r="H189" s="37" t="s">
        <v>470</v>
      </c>
      <c r="I189" s="51" t="s">
        <v>329</v>
      </c>
      <c r="J189" s="51" t="s">
        <v>356</v>
      </c>
      <c r="K189" s="51" t="s">
        <v>330</v>
      </c>
      <c r="L189" s="37"/>
      <c r="M189" s="37"/>
      <c r="N189" s="37" t="s">
        <v>368</v>
      </c>
      <c r="O189" s="37" t="s">
        <v>349</v>
      </c>
      <c r="P189" s="37" t="s">
        <v>31</v>
      </c>
      <c r="Q189" s="37"/>
      <c r="R189" s="37" t="s">
        <v>31</v>
      </c>
      <c r="S189" s="37"/>
      <c r="T189" s="37" t="s">
        <v>204</v>
      </c>
      <c r="U189" s="37" t="s">
        <v>350</v>
      </c>
      <c r="V189" s="50"/>
      <c r="W189" s="37"/>
      <c r="X189" s="37" t="s">
        <v>31</v>
      </c>
      <c r="Y189" s="37"/>
      <c r="Z189" s="37" t="s">
        <v>31</v>
      </c>
      <c r="AA189" s="37"/>
      <c r="AB189" s="37" t="s">
        <v>31</v>
      </c>
      <c r="AC189" s="37"/>
      <c r="AD189" s="37" t="s">
        <v>31</v>
      </c>
      <c r="AE189" s="37"/>
      <c r="AH189" s="17"/>
      <c r="AI189" s="17" t="b">
        <f t="shared" si="9"/>
        <v>1</v>
      </c>
      <c r="AJ189" s="17" t="b">
        <f t="shared" si="10"/>
        <v>1</v>
      </c>
      <c r="AK189" s="17" t="str">
        <f t="shared" si="11"/>
        <v>EM00009353</v>
      </c>
    </row>
    <row r="190" spans="1:37" ht="13.15" customHeight="1" x14ac:dyDescent="0.25">
      <c r="A190" s="75" t="str">
        <f>_xlfn.XLOOKUP(C190,[1]Sheet2!$D:$D,[1]Sheet2!$C:$C)</f>
        <v>EM00009353</v>
      </c>
      <c r="B190" s="37">
        <v>1320</v>
      </c>
      <c r="C190" s="37" t="s">
        <v>330</v>
      </c>
      <c r="D190" s="37">
        <v>2</v>
      </c>
      <c r="E190" s="47" t="s">
        <v>205</v>
      </c>
      <c r="F190" s="48">
        <v>46266</v>
      </c>
      <c r="G190" s="48">
        <v>46295</v>
      </c>
      <c r="H190" s="37"/>
      <c r="I190" s="37"/>
      <c r="J190" s="37" t="s">
        <v>356</v>
      </c>
      <c r="K190" s="37" t="s">
        <v>330</v>
      </c>
      <c r="L190" s="37"/>
      <c r="M190" s="37"/>
      <c r="N190" s="37" t="s">
        <v>368</v>
      </c>
      <c r="O190" s="37" t="s">
        <v>349</v>
      </c>
      <c r="P190" s="37" t="s">
        <v>31</v>
      </c>
      <c r="Q190" s="37"/>
      <c r="R190" s="37" t="s">
        <v>31</v>
      </c>
      <c r="S190" s="37"/>
      <c r="T190" s="37" t="s">
        <v>204</v>
      </c>
      <c r="U190" s="37" t="s">
        <v>350</v>
      </c>
      <c r="V190" s="37"/>
      <c r="W190" s="37"/>
      <c r="X190" s="37" t="s">
        <v>31</v>
      </c>
      <c r="Y190" s="37"/>
      <c r="Z190" s="37" t="s">
        <v>31</v>
      </c>
      <c r="AA190" s="37"/>
      <c r="AB190" s="37" t="s">
        <v>31</v>
      </c>
      <c r="AC190" s="37"/>
      <c r="AD190" s="37" t="s">
        <v>31</v>
      </c>
      <c r="AE190" s="37"/>
      <c r="AH190" s="17"/>
      <c r="AI190" s="17" t="b">
        <f t="shared" si="9"/>
        <v>1</v>
      </c>
      <c r="AJ190" s="17" t="b">
        <f t="shared" si="10"/>
        <v>1</v>
      </c>
      <c r="AK190" s="17" t="str">
        <f t="shared" si="11"/>
        <v>EM00003569</v>
      </c>
    </row>
    <row r="191" spans="1:37" ht="13.15" customHeight="1" x14ac:dyDescent="0.25">
      <c r="A191" s="75" t="str">
        <f>_xlfn.XLOOKUP(C191,[1]Sheet2!$D:$D,[1]Sheet2!$C:$C)</f>
        <v>EM00015602</v>
      </c>
      <c r="B191" s="37">
        <v>1323</v>
      </c>
      <c r="C191" s="51" t="s">
        <v>337</v>
      </c>
      <c r="D191" s="37">
        <v>1</v>
      </c>
      <c r="E191" s="47" t="s">
        <v>205</v>
      </c>
      <c r="F191" s="48">
        <v>46266</v>
      </c>
      <c r="G191" s="48">
        <v>46295</v>
      </c>
      <c r="H191" s="37" t="s">
        <v>354</v>
      </c>
      <c r="I191" s="51" t="s">
        <v>337</v>
      </c>
      <c r="J191" s="51" t="s">
        <v>361</v>
      </c>
      <c r="K191" s="51" t="s">
        <v>342</v>
      </c>
      <c r="L191" s="37"/>
      <c r="M191" s="37"/>
      <c r="N191" s="37" t="s">
        <v>368</v>
      </c>
      <c r="O191" s="37" t="s">
        <v>349</v>
      </c>
      <c r="P191" s="51" t="s">
        <v>31</v>
      </c>
      <c r="Q191" s="37"/>
      <c r="R191" s="37" t="s">
        <v>31</v>
      </c>
      <c r="S191" s="37"/>
      <c r="T191" s="37" t="s">
        <v>204</v>
      </c>
      <c r="U191" s="37" t="s">
        <v>350</v>
      </c>
      <c r="V191" s="50"/>
      <c r="W191" s="37"/>
      <c r="X191" s="37" t="s">
        <v>31</v>
      </c>
      <c r="Y191" s="37"/>
      <c r="Z191" s="37" t="s">
        <v>31</v>
      </c>
      <c r="AA191" s="37"/>
      <c r="AB191" s="37" t="s">
        <v>31</v>
      </c>
      <c r="AC191" s="37"/>
      <c r="AD191" s="37" t="s">
        <v>31</v>
      </c>
      <c r="AE191" s="37"/>
      <c r="AH191" s="17"/>
      <c r="AI191" s="17" t="b">
        <f t="shared" si="9"/>
        <v>1</v>
      </c>
      <c r="AJ191" s="17" t="b">
        <f t="shared" si="10"/>
        <v>1</v>
      </c>
      <c r="AK191" s="17" t="str">
        <f t="shared" si="11"/>
        <v>EM00015774</v>
      </c>
    </row>
    <row r="192" spans="1:37" ht="13.15" customHeight="1" x14ac:dyDescent="0.25">
      <c r="A192" s="75" t="str">
        <f>_xlfn.XLOOKUP(C192,[1]Sheet2!$D:$D,[1]Sheet2!$C:$C)</f>
        <v>EM00016033</v>
      </c>
      <c r="B192" s="37">
        <v>1323</v>
      </c>
      <c r="C192" s="51" t="s">
        <v>338</v>
      </c>
      <c r="D192" s="37">
        <v>1</v>
      </c>
      <c r="E192" s="47" t="s">
        <v>205</v>
      </c>
      <c r="F192" s="48">
        <v>46266</v>
      </c>
      <c r="G192" s="48">
        <v>46295</v>
      </c>
      <c r="H192" s="37" t="s">
        <v>357</v>
      </c>
      <c r="I192" s="51" t="s">
        <v>338</v>
      </c>
      <c r="J192" s="51" t="s">
        <v>361</v>
      </c>
      <c r="K192" s="51" t="s">
        <v>342</v>
      </c>
      <c r="L192" s="37"/>
      <c r="M192" s="37"/>
      <c r="N192" s="37" t="s">
        <v>368</v>
      </c>
      <c r="O192" s="37" t="s">
        <v>349</v>
      </c>
      <c r="P192" s="51" t="s">
        <v>31</v>
      </c>
      <c r="Q192" s="37"/>
      <c r="R192" s="37" t="s">
        <v>31</v>
      </c>
      <c r="S192" s="37"/>
      <c r="T192" s="37" t="s">
        <v>204</v>
      </c>
      <c r="U192" s="37" t="s">
        <v>350</v>
      </c>
      <c r="V192" s="50"/>
      <c r="W192" s="37"/>
      <c r="X192" s="37" t="s">
        <v>31</v>
      </c>
      <c r="Y192" s="37"/>
      <c r="Z192" s="37" t="s">
        <v>31</v>
      </c>
      <c r="AA192" s="37"/>
      <c r="AB192" s="37" t="s">
        <v>31</v>
      </c>
      <c r="AC192" s="37"/>
      <c r="AD192" s="37" t="s">
        <v>31</v>
      </c>
      <c r="AE192" s="37"/>
      <c r="AH192" s="17"/>
      <c r="AI192" s="17" t="b">
        <f t="shared" si="9"/>
        <v>1</v>
      </c>
      <c r="AJ192" s="17" t="b">
        <f t="shared" si="10"/>
        <v>1</v>
      </c>
      <c r="AK192" s="17" t="str">
        <f t="shared" si="11"/>
        <v>EM00015774</v>
      </c>
    </row>
    <row r="193" spans="1:37" ht="13.15" customHeight="1" x14ac:dyDescent="0.25">
      <c r="A193" s="75" t="str">
        <f>_xlfn.XLOOKUP(C193,[1]Sheet2!$D:$D,[1]Sheet2!$C:$C)</f>
        <v>EM00016047</v>
      </c>
      <c r="B193" s="37">
        <v>1323</v>
      </c>
      <c r="C193" s="51" t="s">
        <v>339</v>
      </c>
      <c r="D193" s="37">
        <v>1</v>
      </c>
      <c r="E193" s="47" t="s">
        <v>205</v>
      </c>
      <c r="F193" s="48">
        <v>46266</v>
      </c>
      <c r="G193" s="48">
        <v>46295</v>
      </c>
      <c r="H193" s="37" t="s">
        <v>358</v>
      </c>
      <c r="I193" s="51" t="s">
        <v>339</v>
      </c>
      <c r="J193" s="51" t="s">
        <v>361</v>
      </c>
      <c r="K193" s="51" t="s">
        <v>342</v>
      </c>
      <c r="L193" s="37"/>
      <c r="M193" s="37"/>
      <c r="N193" s="37" t="s">
        <v>368</v>
      </c>
      <c r="O193" s="37" t="s">
        <v>349</v>
      </c>
      <c r="P193" s="52" t="s">
        <v>31</v>
      </c>
      <c r="Q193" s="37"/>
      <c r="R193" s="37" t="s">
        <v>31</v>
      </c>
      <c r="S193" s="37"/>
      <c r="T193" s="37" t="s">
        <v>204</v>
      </c>
      <c r="U193" s="37" t="s">
        <v>350</v>
      </c>
      <c r="V193" s="50"/>
      <c r="W193" s="37"/>
      <c r="X193" s="37" t="s">
        <v>31</v>
      </c>
      <c r="Y193" s="37"/>
      <c r="Z193" s="37" t="s">
        <v>31</v>
      </c>
      <c r="AA193" s="37"/>
      <c r="AB193" s="37" t="s">
        <v>31</v>
      </c>
      <c r="AC193" s="37"/>
      <c r="AD193" s="37" t="s">
        <v>31</v>
      </c>
      <c r="AE193" s="37"/>
      <c r="AH193" s="17"/>
      <c r="AI193" s="17" t="b">
        <f t="shared" si="9"/>
        <v>1</v>
      </c>
      <c r="AJ193" s="17" t="b">
        <f t="shared" si="10"/>
        <v>1</v>
      </c>
      <c r="AK193" s="17" t="str">
        <f t="shared" si="11"/>
        <v>EM00015774</v>
      </c>
    </row>
    <row r="194" spans="1:37" ht="13.15" customHeight="1" x14ac:dyDescent="0.25">
      <c r="A194" s="75" t="str">
        <f>_xlfn.XLOOKUP(C194,[1]Sheet2!$D:$D,[1]Sheet2!$C:$C)</f>
        <v>EM00016038</v>
      </c>
      <c r="B194" s="37">
        <v>1323</v>
      </c>
      <c r="C194" s="51" t="s">
        <v>340</v>
      </c>
      <c r="D194" s="37">
        <v>1</v>
      </c>
      <c r="E194" s="47" t="s">
        <v>205</v>
      </c>
      <c r="F194" s="48">
        <v>46266</v>
      </c>
      <c r="G194" s="48">
        <v>46295</v>
      </c>
      <c r="H194" s="37" t="s">
        <v>359</v>
      </c>
      <c r="I194" s="51" t="s">
        <v>340</v>
      </c>
      <c r="J194" s="51" t="s">
        <v>361</v>
      </c>
      <c r="K194" s="51" t="s">
        <v>342</v>
      </c>
      <c r="L194" s="37"/>
      <c r="M194" s="37"/>
      <c r="N194" s="37" t="s">
        <v>368</v>
      </c>
      <c r="O194" s="37" t="s">
        <v>349</v>
      </c>
      <c r="P194" s="37" t="s">
        <v>31</v>
      </c>
      <c r="Q194" s="37"/>
      <c r="R194" s="37" t="s">
        <v>31</v>
      </c>
      <c r="S194" s="37"/>
      <c r="T194" s="37" t="s">
        <v>204</v>
      </c>
      <c r="U194" s="37" t="s">
        <v>350</v>
      </c>
      <c r="V194" s="50"/>
      <c r="W194" s="37"/>
      <c r="X194" s="37" t="s">
        <v>31</v>
      </c>
      <c r="Y194" s="37"/>
      <c r="Z194" s="37" t="s">
        <v>31</v>
      </c>
      <c r="AA194" s="37"/>
      <c r="AB194" s="37" t="s">
        <v>31</v>
      </c>
      <c r="AC194" s="37"/>
      <c r="AD194" s="37" t="s">
        <v>31</v>
      </c>
      <c r="AE194" s="37"/>
      <c r="AH194" s="17"/>
      <c r="AI194" s="17" t="b">
        <f t="shared" si="9"/>
        <v>1</v>
      </c>
      <c r="AJ194" s="17" t="b">
        <f t="shared" si="10"/>
        <v>1</v>
      </c>
      <c r="AK194" s="17" t="str">
        <f t="shared" si="11"/>
        <v>EM00015774</v>
      </c>
    </row>
    <row r="195" spans="1:37" ht="13.15" customHeight="1" x14ac:dyDescent="0.25">
      <c r="A195" s="75" t="str">
        <f>_xlfn.XLOOKUP(C195,[1]Sheet2!$D:$D,[1]Sheet2!$C:$C)</f>
        <v>EM00016042</v>
      </c>
      <c r="B195" s="37">
        <v>1323</v>
      </c>
      <c r="C195" s="51" t="s">
        <v>341</v>
      </c>
      <c r="D195" s="37">
        <v>1</v>
      </c>
      <c r="E195" s="47" t="s">
        <v>205</v>
      </c>
      <c r="F195" s="48">
        <v>46266</v>
      </c>
      <c r="G195" s="48">
        <v>46295</v>
      </c>
      <c r="H195" s="37" t="s">
        <v>360</v>
      </c>
      <c r="I195" s="51" t="s">
        <v>341</v>
      </c>
      <c r="J195" s="51" t="s">
        <v>361</v>
      </c>
      <c r="K195" s="51" t="s">
        <v>342</v>
      </c>
      <c r="L195" s="37"/>
      <c r="M195" s="37"/>
      <c r="N195" s="37" t="s">
        <v>368</v>
      </c>
      <c r="O195" s="37" t="s">
        <v>349</v>
      </c>
      <c r="P195" s="37" t="s">
        <v>31</v>
      </c>
      <c r="Q195" s="37"/>
      <c r="R195" s="37" t="s">
        <v>31</v>
      </c>
      <c r="S195" s="37"/>
      <c r="T195" s="37" t="s">
        <v>204</v>
      </c>
      <c r="U195" s="37" t="s">
        <v>350</v>
      </c>
      <c r="V195" s="50"/>
      <c r="W195" s="37"/>
      <c r="X195" s="37" t="s">
        <v>31</v>
      </c>
      <c r="Y195" s="37"/>
      <c r="Z195" s="37" t="s">
        <v>31</v>
      </c>
      <c r="AA195" s="37"/>
      <c r="AB195" s="37" t="s">
        <v>31</v>
      </c>
      <c r="AC195" s="37"/>
      <c r="AD195" s="37" t="s">
        <v>31</v>
      </c>
      <c r="AE195" s="37"/>
      <c r="AH195" s="17"/>
      <c r="AI195" s="17" t="b">
        <f t="shared" ref="AI195:AI258" si="12">IF(D195=1,A195=H195,IF(D195=2,A195=J195,IF(D195=4,A195=N195,IF(D195=6,A195=R195,IF(D195=7,A195=T195,IF(D195=8,A195=V195,IF(D195=9,A195=X195,IF(D195=10,A195=Z195,IF(D195=11,A195=AB195,IF(D195=12,A195=AD195,IF(D195=13,A195=AF195)))))))))))</f>
        <v>1</v>
      </c>
      <c r="AJ195" s="17" t="b">
        <f t="shared" ref="AJ195:AJ258" si="13">IF(D195=1,C195=I195,IF(D195=2,C195=K195,IF(D195=4,C195=O195,IF(D195=6,C195=S195,IF(D195=7,C195=U195,IF(D195=8,C195=W195,IF(D195=9,C195=Y195,IF(D195=10,C195=AA195,IF(D195=11,C195=AC195,IF(D195=12,C195=AE195,IF(D195=13,C195=AG195)))))))))))</f>
        <v>1</v>
      </c>
      <c r="AK195" s="17" t="str">
        <f t="shared" ref="AK195:AK258" si="14">IF(D195=1,J195,IF(D195=2,N195,IF(D195=4,R195,IF(D195=6,T195,IF(D195=7,V195,IF(D195=8,X195,IF(D195=9,Z195)))))))</f>
        <v>EM00015774</v>
      </c>
    </row>
    <row r="196" spans="1:37" ht="13.15" customHeight="1" x14ac:dyDescent="0.25">
      <c r="A196" s="75" t="str">
        <f>_xlfn.XLOOKUP(C196,[1]Sheet2!$D:$D,[1]Sheet2!$C:$C)</f>
        <v>EM00015774</v>
      </c>
      <c r="B196" s="37">
        <v>1323</v>
      </c>
      <c r="C196" s="37" t="s">
        <v>342</v>
      </c>
      <c r="D196" s="37">
        <v>2</v>
      </c>
      <c r="E196" s="47" t="s">
        <v>205</v>
      </c>
      <c r="F196" s="48">
        <v>46266</v>
      </c>
      <c r="G196" s="48">
        <v>46295</v>
      </c>
      <c r="H196" s="37"/>
      <c r="I196" s="37"/>
      <c r="J196" s="37" t="s">
        <v>361</v>
      </c>
      <c r="K196" s="37" t="s">
        <v>342</v>
      </c>
      <c r="L196" s="37"/>
      <c r="M196" s="37"/>
      <c r="N196" s="37" t="s">
        <v>368</v>
      </c>
      <c r="O196" s="37" t="s">
        <v>349</v>
      </c>
      <c r="P196" s="51" t="s">
        <v>31</v>
      </c>
      <c r="Q196" s="37"/>
      <c r="R196" s="37" t="s">
        <v>31</v>
      </c>
      <c r="S196" s="37"/>
      <c r="T196" s="37" t="s">
        <v>204</v>
      </c>
      <c r="U196" s="37" t="s">
        <v>350</v>
      </c>
      <c r="V196" s="37"/>
      <c r="W196" s="37"/>
      <c r="X196" s="37" t="s">
        <v>31</v>
      </c>
      <c r="Y196" s="37"/>
      <c r="Z196" s="37" t="s">
        <v>31</v>
      </c>
      <c r="AA196" s="37"/>
      <c r="AB196" s="37" t="s">
        <v>31</v>
      </c>
      <c r="AC196" s="37"/>
      <c r="AD196" s="37" t="s">
        <v>31</v>
      </c>
      <c r="AE196" s="37"/>
      <c r="AH196" s="17"/>
      <c r="AI196" s="17" t="b">
        <f t="shared" si="12"/>
        <v>1</v>
      </c>
      <c r="AJ196" s="17" t="b">
        <f t="shared" si="13"/>
        <v>1</v>
      </c>
      <c r="AK196" s="17" t="str">
        <f t="shared" si="14"/>
        <v>EM00003569</v>
      </c>
    </row>
    <row r="197" spans="1:37" ht="13.15" customHeight="1" x14ac:dyDescent="0.25">
      <c r="A197" s="75" t="str">
        <f>_xlfn.XLOOKUP(C197,[1]Sheet2!$D:$D,[1]Sheet2!$C:$C)</f>
        <v>EM00016062</v>
      </c>
      <c r="B197" s="37">
        <v>1322</v>
      </c>
      <c r="C197" s="51" t="s">
        <v>343</v>
      </c>
      <c r="D197" s="37">
        <v>1</v>
      </c>
      <c r="E197" s="47" t="s">
        <v>205</v>
      </c>
      <c r="F197" s="48">
        <v>46266</v>
      </c>
      <c r="G197" s="48">
        <v>46295</v>
      </c>
      <c r="H197" s="37" t="s">
        <v>362</v>
      </c>
      <c r="I197" s="51" t="s">
        <v>343</v>
      </c>
      <c r="J197" s="51" t="s">
        <v>31</v>
      </c>
      <c r="K197" s="51" t="s">
        <v>348</v>
      </c>
      <c r="L197" s="37"/>
      <c r="M197" s="37"/>
      <c r="N197" s="37" t="s">
        <v>368</v>
      </c>
      <c r="O197" s="37" t="s">
        <v>349</v>
      </c>
      <c r="P197" s="51" t="s">
        <v>31</v>
      </c>
      <c r="Q197" s="37"/>
      <c r="R197" s="37" t="s">
        <v>31</v>
      </c>
      <c r="S197" s="37"/>
      <c r="T197" s="37" t="s">
        <v>204</v>
      </c>
      <c r="U197" s="37" t="s">
        <v>350</v>
      </c>
      <c r="V197" s="50"/>
      <c r="W197" s="37"/>
      <c r="X197" s="37" t="s">
        <v>31</v>
      </c>
      <c r="Y197" s="37"/>
      <c r="Z197" s="37" t="s">
        <v>31</v>
      </c>
      <c r="AA197" s="37"/>
      <c r="AB197" s="37" t="s">
        <v>31</v>
      </c>
      <c r="AC197" s="37"/>
      <c r="AD197" s="37" t="s">
        <v>31</v>
      </c>
      <c r="AE197" s="37"/>
      <c r="AH197" s="17"/>
      <c r="AI197" s="17" t="b">
        <f t="shared" si="12"/>
        <v>1</v>
      </c>
      <c r="AJ197" s="17" t="b">
        <f t="shared" si="13"/>
        <v>1</v>
      </c>
      <c r="AK197" s="17" t="str">
        <f t="shared" si="14"/>
        <v>EM00000000</v>
      </c>
    </row>
    <row r="198" spans="1:37" ht="13.15" customHeight="1" x14ac:dyDescent="0.25">
      <c r="A198" s="75" t="str">
        <f>_xlfn.XLOOKUP(C198,[1]Sheet2!$D:$D,[1]Sheet2!$C:$C)</f>
        <v>EM00016061</v>
      </c>
      <c r="B198" s="37">
        <v>1322</v>
      </c>
      <c r="C198" s="51" t="s">
        <v>344</v>
      </c>
      <c r="D198" s="37">
        <v>1</v>
      </c>
      <c r="E198" s="47" t="s">
        <v>205</v>
      </c>
      <c r="F198" s="48">
        <v>46266</v>
      </c>
      <c r="G198" s="48">
        <v>46295</v>
      </c>
      <c r="H198" s="37" t="s">
        <v>363</v>
      </c>
      <c r="I198" s="51" t="s">
        <v>344</v>
      </c>
      <c r="J198" s="51" t="s">
        <v>31</v>
      </c>
      <c r="K198" s="51" t="s">
        <v>348</v>
      </c>
      <c r="L198" s="37"/>
      <c r="M198" s="37"/>
      <c r="N198" s="37" t="s">
        <v>368</v>
      </c>
      <c r="O198" s="37" t="s">
        <v>349</v>
      </c>
      <c r="P198" s="52" t="s">
        <v>31</v>
      </c>
      <c r="Q198" s="37"/>
      <c r="R198" s="37" t="s">
        <v>31</v>
      </c>
      <c r="S198" s="37"/>
      <c r="T198" s="37" t="s">
        <v>204</v>
      </c>
      <c r="U198" s="37" t="s">
        <v>350</v>
      </c>
      <c r="V198" s="50"/>
      <c r="W198" s="37"/>
      <c r="X198" s="37" t="s">
        <v>31</v>
      </c>
      <c r="Y198" s="37"/>
      <c r="Z198" s="37" t="s">
        <v>31</v>
      </c>
      <c r="AA198" s="37"/>
      <c r="AB198" s="37" t="s">
        <v>31</v>
      </c>
      <c r="AC198" s="37"/>
      <c r="AD198" s="37" t="s">
        <v>31</v>
      </c>
      <c r="AE198" s="37"/>
      <c r="AH198" s="17"/>
      <c r="AI198" s="17" t="b">
        <f t="shared" si="12"/>
        <v>1</v>
      </c>
      <c r="AJ198" s="17" t="b">
        <f t="shared" si="13"/>
        <v>1</v>
      </c>
      <c r="AK198" s="17" t="str">
        <f t="shared" si="14"/>
        <v>EM00000000</v>
      </c>
    </row>
    <row r="199" spans="1:37" ht="13.15" customHeight="1" x14ac:dyDescent="0.25">
      <c r="A199" s="75" t="str">
        <f>_xlfn.XLOOKUP(C199,[1]Sheet2!$D:$D,[1]Sheet2!$C:$C)</f>
        <v>EM00016285</v>
      </c>
      <c r="B199" s="37">
        <v>1322</v>
      </c>
      <c r="C199" s="51" t="s">
        <v>345</v>
      </c>
      <c r="D199" s="37">
        <v>1</v>
      </c>
      <c r="E199" s="47" t="s">
        <v>205</v>
      </c>
      <c r="F199" s="48">
        <v>46266</v>
      </c>
      <c r="G199" s="48">
        <v>46295</v>
      </c>
      <c r="H199" s="37" t="s">
        <v>471</v>
      </c>
      <c r="I199" s="51" t="s">
        <v>345</v>
      </c>
      <c r="J199" s="51" t="s">
        <v>31</v>
      </c>
      <c r="K199" s="51" t="s">
        <v>348</v>
      </c>
      <c r="L199" s="37"/>
      <c r="M199" s="37"/>
      <c r="N199" s="37" t="s">
        <v>368</v>
      </c>
      <c r="O199" s="37" t="s">
        <v>349</v>
      </c>
      <c r="P199" s="37" t="s">
        <v>31</v>
      </c>
      <c r="Q199" s="37"/>
      <c r="R199" s="37" t="s">
        <v>31</v>
      </c>
      <c r="S199" s="37"/>
      <c r="T199" s="37" t="s">
        <v>204</v>
      </c>
      <c r="U199" s="37" t="s">
        <v>350</v>
      </c>
      <c r="V199" s="50"/>
      <c r="W199" s="37"/>
      <c r="X199" s="37" t="s">
        <v>31</v>
      </c>
      <c r="Y199" s="37"/>
      <c r="Z199" s="37" t="s">
        <v>31</v>
      </c>
      <c r="AA199" s="37"/>
      <c r="AB199" s="37" t="s">
        <v>31</v>
      </c>
      <c r="AC199" s="37"/>
      <c r="AD199" s="37" t="s">
        <v>31</v>
      </c>
      <c r="AE199" s="37"/>
      <c r="AH199" s="17"/>
      <c r="AI199" s="17" t="b">
        <f t="shared" si="12"/>
        <v>1</v>
      </c>
      <c r="AJ199" s="17" t="b">
        <f t="shared" si="13"/>
        <v>1</v>
      </c>
      <c r="AK199" s="17" t="str">
        <f t="shared" si="14"/>
        <v>EM00000000</v>
      </c>
    </row>
    <row r="200" spans="1:37" ht="13.15" customHeight="1" x14ac:dyDescent="0.25">
      <c r="A200" s="75" t="str">
        <f>_xlfn.XLOOKUP(C200,[1]Sheet2!$D:$D,[1]Sheet2!$C:$C)</f>
        <v>EM00016503</v>
      </c>
      <c r="B200" s="37">
        <v>1322</v>
      </c>
      <c r="C200" s="51" t="s">
        <v>346</v>
      </c>
      <c r="D200" s="37">
        <v>1</v>
      </c>
      <c r="E200" s="47" t="s">
        <v>205</v>
      </c>
      <c r="F200" s="48">
        <v>46266</v>
      </c>
      <c r="G200" s="48">
        <v>46295</v>
      </c>
      <c r="H200" s="37" t="s">
        <v>710</v>
      </c>
      <c r="I200" s="51" t="s">
        <v>346</v>
      </c>
      <c r="J200" s="51" t="s">
        <v>31</v>
      </c>
      <c r="K200" s="51" t="s">
        <v>348</v>
      </c>
      <c r="L200" s="37"/>
      <c r="M200" s="37"/>
      <c r="N200" s="37" t="s">
        <v>368</v>
      </c>
      <c r="O200" s="37" t="s">
        <v>349</v>
      </c>
      <c r="P200" s="37" t="s">
        <v>31</v>
      </c>
      <c r="Q200" s="37"/>
      <c r="R200" s="37" t="s">
        <v>31</v>
      </c>
      <c r="S200" s="37"/>
      <c r="T200" s="37" t="s">
        <v>204</v>
      </c>
      <c r="U200" s="37" t="s">
        <v>350</v>
      </c>
      <c r="V200" s="50"/>
      <c r="W200" s="37"/>
      <c r="X200" s="37" t="s">
        <v>31</v>
      </c>
      <c r="Y200" s="37"/>
      <c r="Z200" s="37" t="s">
        <v>31</v>
      </c>
      <c r="AA200" s="37"/>
      <c r="AB200" s="37" t="s">
        <v>31</v>
      </c>
      <c r="AC200" s="37"/>
      <c r="AD200" s="37" t="s">
        <v>31</v>
      </c>
      <c r="AE200" s="37"/>
      <c r="AH200" s="17"/>
      <c r="AI200" s="17" t="b">
        <f t="shared" si="12"/>
        <v>1</v>
      </c>
      <c r="AJ200" s="17" t="b">
        <f t="shared" si="13"/>
        <v>1</v>
      </c>
      <c r="AK200" s="17" t="str">
        <f t="shared" si="14"/>
        <v>EM00000000</v>
      </c>
    </row>
    <row r="201" spans="1:37" ht="13.15" customHeight="1" x14ac:dyDescent="0.25">
      <c r="A201" s="75" t="str">
        <f>_xlfn.XLOOKUP(C201,[1]Sheet2!$D:$D,[1]Sheet2!$C:$C)</f>
        <v>EM00000000</v>
      </c>
      <c r="B201" s="37">
        <v>1322</v>
      </c>
      <c r="C201" s="51" t="s">
        <v>347</v>
      </c>
      <c r="D201" s="37">
        <v>1</v>
      </c>
      <c r="E201" s="47" t="s">
        <v>205</v>
      </c>
      <c r="F201" s="48">
        <v>46266</v>
      </c>
      <c r="G201" s="48">
        <v>46295</v>
      </c>
      <c r="H201" s="37" t="s">
        <v>31</v>
      </c>
      <c r="I201" s="51" t="s">
        <v>347</v>
      </c>
      <c r="J201" s="51" t="s">
        <v>31</v>
      </c>
      <c r="K201" s="51" t="s">
        <v>348</v>
      </c>
      <c r="L201" s="37"/>
      <c r="M201" s="37"/>
      <c r="N201" s="37" t="s">
        <v>368</v>
      </c>
      <c r="O201" s="37" t="s">
        <v>349</v>
      </c>
      <c r="P201" s="51" t="s">
        <v>31</v>
      </c>
      <c r="Q201" s="37"/>
      <c r="R201" s="37" t="s">
        <v>31</v>
      </c>
      <c r="S201" s="37"/>
      <c r="T201" s="37" t="s">
        <v>204</v>
      </c>
      <c r="U201" s="37" t="s">
        <v>350</v>
      </c>
      <c r="V201" s="50"/>
      <c r="W201" s="37"/>
      <c r="X201" s="37" t="s">
        <v>31</v>
      </c>
      <c r="Y201" s="37"/>
      <c r="Z201" s="37" t="s">
        <v>31</v>
      </c>
      <c r="AA201" s="37"/>
      <c r="AB201" s="37" t="s">
        <v>31</v>
      </c>
      <c r="AC201" s="37"/>
      <c r="AD201" s="37" t="s">
        <v>31</v>
      </c>
      <c r="AE201" s="37"/>
      <c r="AH201" s="17"/>
      <c r="AI201" s="17" t="b">
        <f t="shared" si="12"/>
        <v>1</v>
      </c>
      <c r="AJ201" s="17" t="b">
        <f t="shared" si="13"/>
        <v>1</v>
      </c>
      <c r="AK201" s="17" t="str">
        <f t="shared" si="14"/>
        <v>EM00000000</v>
      </c>
    </row>
    <row r="202" spans="1:37" ht="13.15" customHeight="1" x14ac:dyDescent="0.25">
      <c r="A202" s="75" t="str">
        <f>_xlfn.XLOOKUP(C202,[1]Sheet2!$D:$D,[1]Sheet2!$C:$C)</f>
        <v>EM00000000</v>
      </c>
      <c r="B202" s="37">
        <v>1322</v>
      </c>
      <c r="C202" s="37" t="s">
        <v>348</v>
      </c>
      <c r="D202" s="37">
        <v>2</v>
      </c>
      <c r="E202" s="47" t="s">
        <v>205</v>
      </c>
      <c r="F202" s="48">
        <v>46266</v>
      </c>
      <c r="G202" s="48">
        <v>46295</v>
      </c>
      <c r="H202" s="37"/>
      <c r="I202" s="37"/>
      <c r="J202" s="37" t="s">
        <v>31</v>
      </c>
      <c r="K202" s="37" t="s">
        <v>348</v>
      </c>
      <c r="L202" s="37"/>
      <c r="M202" s="37"/>
      <c r="N202" s="37" t="s">
        <v>368</v>
      </c>
      <c r="O202" s="37" t="s">
        <v>349</v>
      </c>
      <c r="P202" s="51" t="s">
        <v>31</v>
      </c>
      <c r="Q202" s="37"/>
      <c r="R202" s="37" t="s">
        <v>31</v>
      </c>
      <c r="S202" s="37"/>
      <c r="T202" s="37" t="s">
        <v>204</v>
      </c>
      <c r="U202" s="37" t="s">
        <v>350</v>
      </c>
      <c r="V202" s="37"/>
      <c r="W202" s="37"/>
      <c r="X202" s="37" t="s">
        <v>31</v>
      </c>
      <c r="Y202" s="37"/>
      <c r="Z202" s="37" t="s">
        <v>31</v>
      </c>
      <c r="AA202" s="37"/>
      <c r="AB202" s="37" t="s">
        <v>31</v>
      </c>
      <c r="AC202" s="37"/>
      <c r="AD202" s="37" t="s">
        <v>31</v>
      </c>
      <c r="AE202" s="37"/>
      <c r="AH202" s="17"/>
      <c r="AI202" s="17" t="b">
        <f t="shared" si="12"/>
        <v>1</v>
      </c>
      <c r="AJ202" s="17" t="b">
        <f t="shared" si="13"/>
        <v>1</v>
      </c>
      <c r="AK202" s="17" t="str">
        <f t="shared" si="14"/>
        <v>EM00003569</v>
      </c>
    </row>
    <row r="203" spans="1:37" ht="13.15" customHeight="1" x14ac:dyDescent="0.25">
      <c r="A203" s="75" t="str">
        <f>_xlfn.XLOOKUP(C203,[1]Sheet2!$D:$D,[1]Sheet2!$C:$C)</f>
        <v>EM00015618</v>
      </c>
      <c r="B203" s="37">
        <v>1322</v>
      </c>
      <c r="C203" s="51" t="s">
        <v>711</v>
      </c>
      <c r="D203" s="37">
        <v>1</v>
      </c>
      <c r="E203" s="47" t="s">
        <v>205</v>
      </c>
      <c r="F203" s="48">
        <v>46266</v>
      </c>
      <c r="G203" s="48">
        <v>46295</v>
      </c>
      <c r="H203" s="37" t="s">
        <v>364</v>
      </c>
      <c r="I203" s="37" t="s">
        <v>711</v>
      </c>
      <c r="J203" s="37" t="s">
        <v>31</v>
      </c>
      <c r="K203" s="37" t="s">
        <v>924</v>
      </c>
      <c r="L203" s="37"/>
      <c r="M203" s="37"/>
      <c r="N203" s="37" t="s">
        <v>368</v>
      </c>
      <c r="O203" s="37" t="s">
        <v>349</v>
      </c>
      <c r="P203" s="52" t="s">
        <v>31</v>
      </c>
      <c r="Q203" s="37"/>
      <c r="R203" s="37" t="s">
        <v>31</v>
      </c>
      <c r="S203" s="37"/>
      <c r="T203" s="37" t="s">
        <v>204</v>
      </c>
      <c r="U203" s="37" t="s">
        <v>350</v>
      </c>
      <c r="V203" s="37"/>
      <c r="W203" s="37"/>
      <c r="X203" s="37" t="s">
        <v>31</v>
      </c>
      <c r="Y203" s="37"/>
      <c r="Z203" s="37" t="s">
        <v>31</v>
      </c>
      <c r="AA203" s="37"/>
      <c r="AB203" s="37" t="s">
        <v>31</v>
      </c>
      <c r="AC203" s="37"/>
      <c r="AD203" s="37" t="s">
        <v>31</v>
      </c>
      <c r="AE203" s="37"/>
      <c r="AH203" s="17"/>
      <c r="AI203" s="17" t="b">
        <f t="shared" si="12"/>
        <v>1</v>
      </c>
      <c r="AJ203" s="17" t="b">
        <f t="shared" si="13"/>
        <v>1</v>
      </c>
      <c r="AK203" s="17" t="str">
        <f t="shared" si="14"/>
        <v>EM00000000</v>
      </c>
    </row>
    <row r="204" spans="1:37" ht="13.15" customHeight="1" x14ac:dyDescent="0.25">
      <c r="A204" s="75" t="str">
        <f>_xlfn.XLOOKUP(C204,[1]Sheet2!$D:$D,[1]Sheet2!$C:$C)</f>
        <v>EM00015611</v>
      </c>
      <c r="B204" s="37">
        <v>1322</v>
      </c>
      <c r="C204" s="51" t="s">
        <v>712</v>
      </c>
      <c r="D204" s="37">
        <v>1</v>
      </c>
      <c r="E204" s="47" t="s">
        <v>205</v>
      </c>
      <c r="F204" s="48">
        <v>46266</v>
      </c>
      <c r="G204" s="48">
        <v>46295</v>
      </c>
      <c r="H204" s="37" t="s">
        <v>365</v>
      </c>
      <c r="I204" s="37" t="s">
        <v>712</v>
      </c>
      <c r="J204" s="37" t="s">
        <v>31</v>
      </c>
      <c r="K204" s="37" t="s">
        <v>924</v>
      </c>
      <c r="L204" s="37"/>
      <c r="M204" s="37"/>
      <c r="N204" s="37" t="s">
        <v>368</v>
      </c>
      <c r="O204" s="37" t="s">
        <v>349</v>
      </c>
      <c r="P204" s="37" t="s">
        <v>31</v>
      </c>
      <c r="Q204" s="37"/>
      <c r="R204" s="37" t="s">
        <v>31</v>
      </c>
      <c r="S204" s="37"/>
      <c r="T204" s="37" t="s">
        <v>204</v>
      </c>
      <c r="U204" s="37" t="s">
        <v>350</v>
      </c>
      <c r="V204" s="37"/>
      <c r="W204" s="37"/>
      <c r="X204" s="37" t="s">
        <v>31</v>
      </c>
      <c r="Y204" s="37"/>
      <c r="Z204" s="37" t="s">
        <v>31</v>
      </c>
      <c r="AA204" s="37"/>
      <c r="AB204" s="37" t="s">
        <v>31</v>
      </c>
      <c r="AC204" s="37"/>
      <c r="AD204" s="37" t="s">
        <v>31</v>
      </c>
      <c r="AE204" s="37"/>
      <c r="AH204" s="17"/>
      <c r="AI204" s="17" t="b">
        <f t="shared" si="12"/>
        <v>1</v>
      </c>
      <c r="AJ204" s="17" t="b">
        <f t="shared" si="13"/>
        <v>1</v>
      </c>
      <c r="AK204" s="17" t="str">
        <f t="shared" si="14"/>
        <v>EM00000000</v>
      </c>
    </row>
    <row r="205" spans="1:37" ht="13.15" customHeight="1" x14ac:dyDescent="0.25">
      <c r="A205" s="75" t="str">
        <f>_xlfn.XLOOKUP(C205,[1]Sheet2!$D:$D,[1]Sheet2!$C:$C)</f>
        <v>EM00015995</v>
      </c>
      <c r="B205" s="37">
        <v>1322</v>
      </c>
      <c r="C205" s="51" t="s">
        <v>713</v>
      </c>
      <c r="D205" s="37">
        <v>1</v>
      </c>
      <c r="E205" s="47" t="s">
        <v>205</v>
      </c>
      <c r="F205" s="48">
        <v>46266</v>
      </c>
      <c r="G205" s="48">
        <v>46295</v>
      </c>
      <c r="H205" s="37" t="s">
        <v>366</v>
      </c>
      <c r="I205" s="37" t="s">
        <v>713</v>
      </c>
      <c r="J205" s="37" t="s">
        <v>31</v>
      </c>
      <c r="K205" s="37" t="s">
        <v>924</v>
      </c>
      <c r="L205" s="37"/>
      <c r="M205" s="37"/>
      <c r="N205" s="37" t="s">
        <v>368</v>
      </c>
      <c r="O205" s="37" t="s">
        <v>349</v>
      </c>
      <c r="P205" s="37" t="s">
        <v>31</v>
      </c>
      <c r="Q205" s="37"/>
      <c r="R205" s="37" t="s">
        <v>31</v>
      </c>
      <c r="S205" s="37"/>
      <c r="T205" s="37" t="s">
        <v>204</v>
      </c>
      <c r="U205" s="37" t="s">
        <v>350</v>
      </c>
      <c r="V205" s="37"/>
      <c r="W205" s="37"/>
      <c r="X205" s="37" t="s">
        <v>31</v>
      </c>
      <c r="Y205" s="37"/>
      <c r="Z205" s="37" t="s">
        <v>31</v>
      </c>
      <c r="AA205" s="37"/>
      <c r="AB205" s="37" t="s">
        <v>31</v>
      </c>
      <c r="AC205" s="37"/>
      <c r="AD205" s="37" t="s">
        <v>31</v>
      </c>
      <c r="AE205" s="37"/>
      <c r="AH205" s="17"/>
      <c r="AI205" s="17" t="b">
        <f t="shared" si="12"/>
        <v>1</v>
      </c>
      <c r="AJ205" s="17" t="b">
        <f t="shared" si="13"/>
        <v>1</v>
      </c>
      <c r="AK205" s="17" t="str">
        <f t="shared" si="14"/>
        <v>EM00000000</v>
      </c>
    </row>
    <row r="206" spans="1:37" ht="13.15" customHeight="1" x14ac:dyDescent="0.25">
      <c r="A206" s="75" t="s">
        <v>31</v>
      </c>
      <c r="B206" s="37">
        <v>1322</v>
      </c>
      <c r="C206" s="51" t="s">
        <v>714</v>
      </c>
      <c r="D206" s="37">
        <v>1</v>
      </c>
      <c r="E206" s="47" t="s">
        <v>205</v>
      </c>
      <c r="F206" s="48">
        <v>46266</v>
      </c>
      <c r="G206" s="48">
        <v>46295</v>
      </c>
      <c r="H206" s="37" t="s">
        <v>367</v>
      </c>
      <c r="I206" s="37" t="s">
        <v>714</v>
      </c>
      <c r="J206" s="37" t="s">
        <v>31</v>
      </c>
      <c r="K206" s="37" t="s">
        <v>924</v>
      </c>
      <c r="L206" s="37"/>
      <c r="M206" s="37"/>
      <c r="N206" s="37" t="s">
        <v>368</v>
      </c>
      <c r="O206" s="37" t="s">
        <v>349</v>
      </c>
      <c r="P206" s="51" t="s">
        <v>31</v>
      </c>
      <c r="Q206" s="37"/>
      <c r="R206" s="37" t="s">
        <v>31</v>
      </c>
      <c r="S206" s="37"/>
      <c r="T206" s="37" t="s">
        <v>204</v>
      </c>
      <c r="U206" s="37" t="s">
        <v>350</v>
      </c>
      <c r="V206" s="37"/>
      <c r="W206" s="37"/>
      <c r="X206" s="37" t="s">
        <v>31</v>
      </c>
      <c r="Y206" s="37"/>
      <c r="Z206" s="37" t="s">
        <v>31</v>
      </c>
      <c r="AA206" s="37"/>
      <c r="AB206" s="37" t="s">
        <v>31</v>
      </c>
      <c r="AC206" s="37"/>
      <c r="AD206" s="37" t="s">
        <v>31</v>
      </c>
      <c r="AE206" s="37"/>
      <c r="AH206" s="17"/>
      <c r="AI206" s="17" t="b">
        <f t="shared" si="12"/>
        <v>0</v>
      </c>
      <c r="AJ206" s="17" t="b">
        <f t="shared" si="13"/>
        <v>1</v>
      </c>
      <c r="AK206" s="17" t="str">
        <f t="shared" si="14"/>
        <v>EM00000000</v>
      </c>
    </row>
    <row r="207" spans="1:37" ht="13.15" customHeight="1" x14ac:dyDescent="0.25">
      <c r="A207" s="75" t="s">
        <v>31</v>
      </c>
      <c r="B207" s="37">
        <v>1322</v>
      </c>
      <c r="C207" s="51" t="s">
        <v>715</v>
      </c>
      <c r="D207" s="37">
        <v>1</v>
      </c>
      <c r="E207" s="47" t="s">
        <v>205</v>
      </c>
      <c r="F207" s="48">
        <v>46266</v>
      </c>
      <c r="G207" s="48">
        <v>46295</v>
      </c>
      <c r="H207" s="37" t="s">
        <v>716</v>
      </c>
      <c r="I207" s="37" t="s">
        <v>715</v>
      </c>
      <c r="J207" s="37" t="s">
        <v>31</v>
      </c>
      <c r="K207" s="37" t="s">
        <v>924</v>
      </c>
      <c r="L207" s="37"/>
      <c r="M207" s="37"/>
      <c r="N207" s="37" t="s">
        <v>368</v>
      </c>
      <c r="O207" s="37" t="s">
        <v>349</v>
      </c>
      <c r="P207" s="51" t="s">
        <v>31</v>
      </c>
      <c r="Q207" s="37"/>
      <c r="R207" s="37" t="s">
        <v>31</v>
      </c>
      <c r="S207" s="37"/>
      <c r="T207" s="37" t="s">
        <v>204</v>
      </c>
      <c r="U207" s="37" t="s">
        <v>350</v>
      </c>
      <c r="V207" s="37"/>
      <c r="W207" s="37"/>
      <c r="X207" s="37" t="s">
        <v>31</v>
      </c>
      <c r="Y207" s="37"/>
      <c r="Z207" s="37" t="s">
        <v>31</v>
      </c>
      <c r="AA207" s="37"/>
      <c r="AB207" s="37" t="s">
        <v>31</v>
      </c>
      <c r="AC207" s="37"/>
      <c r="AD207" s="37" t="s">
        <v>31</v>
      </c>
      <c r="AE207" s="37"/>
      <c r="AH207" s="17"/>
      <c r="AI207" s="17" t="b">
        <f t="shared" si="12"/>
        <v>0</v>
      </c>
      <c r="AJ207" s="17" t="b">
        <f t="shared" si="13"/>
        <v>1</v>
      </c>
      <c r="AK207" s="17" t="str">
        <f t="shared" si="14"/>
        <v>EM00000000</v>
      </c>
    </row>
    <row r="208" spans="1:37" ht="13.15" customHeight="1" x14ac:dyDescent="0.25">
      <c r="A208" s="75" t="str">
        <f>_xlfn.XLOOKUP(C208,[1]Sheet2!$D:$D,[1]Sheet2!$C:$C)</f>
        <v>EM00000000</v>
      </c>
      <c r="B208" s="37">
        <v>1322</v>
      </c>
      <c r="C208" s="37" t="s">
        <v>924</v>
      </c>
      <c r="D208" s="37">
        <v>2</v>
      </c>
      <c r="E208" s="47" t="s">
        <v>205</v>
      </c>
      <c r="F208" s="48">
        <v>46266</v>
      </c>
      <c r="G208" s="48">
        <v>46295</v>
      </c>
      <c r="H208" s="37"/>
      <c r="I208" s="37"/>
      <c r="J208" s="37" t="s">
        <v>31</v>
      </c>
      <c r="K208" s="37" t="s">
        <v>924</v>
      </c>
      <c r="L208" s="37"/>
      <c r="M208" s="37"/>
      <c r="N208" s="37" t="s">
        <v>368</v>
      </c>
      <c r="O208" s="37" t="s">
        <v>349</v>
      </c>
      <c r="P208" s="52" t="s">
        <v>31</v>
      </c>
      <c r="Q208" s="37"/>
      <c r="R208" s="37" t="s">
        <v>31</v>
      </c>
      <c r="S208" s="37"/>
      <c r="T208" s="37" t="s">
        <v>204</v>
      </c>
      <c r="U208" s="37" t="s">
        <v>350</v>
      </c>
      <c r="V208" s="37"/>
      <c r="W208" s="37"/>
      <c r="X208" s="37" t="s">
        <v>31</v>
      </c>
      <c r="Y208" s="37"/>
      <c r="Z208" s="37" t="s">
        <v>31</v>
      </c>
      <c r="AA208" s="37"/>
      <c r="AB208" s="37" t="s">
        <v>31</v>
      </c>
      <c r="AC208" s="37"/>
      <c r="AD208" s="37" t="s">
        <v>31</v>
      </c>
      <c r="AE208" s="37"/>
      <c r="AH208" s="17"/>
      <c r="AI208" s="17" t="b">
        <f t="shared" si="12"/>
        <v>1</v>
      </c>
      <c r="AJ208" s="17" t="b">
        <f t="shared" si="13"/>
        <v>1</v>
      </c>
      <c r="AK208" s="17" t="str">
        <f t="shared" si="14"/>
        <v>EM00003569</v>
      </c>
    </row>
    <row r="209" spans="1:37" ht="13.15" customHeight="1" x14ac:dyDescent="0.25">
      <c r="A209" s="37" t="s">
        <v>368</v>
      </c>
      <c r="B209" s="37">
        <v>1320</v>
      </c>
      <c r="C209" s="37" t="s">
        <v>349</v>
      </c>
      <c r="D209" s="37">
        <v>4</v>
      </c>
      <c r="E209" s="47" t="s">
        <v>205</v>
      </c>
      <c r="F209" s="48">
        <v>46266</v>
      </c>
      <c r="G209" s="48">
        <v>46295</v>
      </c>
      <c r="H209" s="37"/>
      <c r="I209" s="37"/>
      <c r="J209" s="37"/>
      <c r="K209" s="37"/>
      <c r="L209" s="37"/>
      <c r="M209" s="37"/>
      <c r="N209" s="37" t="s">
        <v>368</v>
      </c>
      <c r="O209" s="37" t="s">
        <v>349</v>
      </c>
      <c r="P209" s="37" t="s">
        <v>31</v>
      </c>
      <c r="Q209" s="37"/>
      <c r="R209" s="37" t="s">
        <v>31</v>
      </c>
      <c r="S209" s="37"/>
      <c r="T209" s="37" t="s">
        <v>204</v>
      </c>
      <c r="U209" s="37" t="s">
        <v>350</v>
      </c>
      <c r="V209" s="37"/>
      <c r="W209" s="37"/>
      <c r="X209" s="37" t="s">
        <v>31</v>
      </c>
      <c r="Y209" s="37"/>
      <c r="Z209" s="37" t="s">
        <v>31</v>
      </c>
      <c r="AA209" s="37"/>
      <c r="AB209" s="37" t="s">
        <v>31</v>
      </c>
      <c r="AC209" s="37"/>
      <c r="AD209" s="37" t="s">
        <v>31</v>
      </c>
      <c r="AE209" s="37"/>
      <c r="AH209" s="17"/>
      <c r="AI209" s="17" t="b">
        <f t="shared" si="12"/>
        <v>1</v>
      </c>
      <c r="AJ209" s="17" t="b">
        <f t="shared" si="13"/>
        <v>1</v>
      </c>
      <c r="AK209" s="17" t="str">
        <f t="shared" si="14"/>
        <v>EM00000000</v>
      </c>
    </row>
    <row r="210" spans="1:37" ht="13.15" customHeight="1" x14ac:dyDescent="0.25">
      <c r="A210" s="37" t="s">
        <v>368</v>
      </c>
      <c r="B210" s="37">
        <v>1322</v>
      </c>
      <c r="C210" s="37" t="s">
        <v>349</v>
      </c>
      <c r="D210" s="37">
        <v>4</v>
      </c>
      <c r="E210" s="47" t="s">
        <v>205</v>
      </c>
      <c r="F210" s="48">
        <v>46266</v>
      </c>
      <c r="G210" s="48">
        <v>46295</v>
      </c>
      <c r="H210" s="37"/>
      <c r="I210" s="37"/>
      <c r="J210" s="37"/>
      <c r="K210" s="37"/>
      <c r="L210" s="37"/>
      <c r="M210" s="37"/>
      <c r="N210" s="37" t="s">
        <v>368</v>
      </c>
      <c r="O210" s="37" t="s">
        <v>349</v>
      </c>
      <c r="P210" s="37" t="s">
        <v>31</v>
      </c>
      <c r="Q210" s="37"/>
      <c r="R210" s="37" t="s">
        <v>31</v>
      </c>
      <c r="S210" s="37"/>
      <c r="T210" s="37" t="s">
        <v>204</v>
      </c>
      <c r="U210" s="37" t="s">
        <v>350</v>
      </c>
      <c r="V210" s="37"/>
      <c r="W210" s="37"/>
      <c r="X210" s="37" t="s">
        <v>31</v>
      </c>
      <c r="Y210" s="37"/>
      <c r="Z210" s="37" t="s">
        <v>31</v>
      </c>
      <c r="AA210" s="37"/>
      <c r="AB210" s="37" t="s">
        <v>31</v>
      </c>
      <c r="AC210" s="37"/>
      <c r="AD210" s="37" t="s">
        <v>31</v>
      </c>
      <c r="AE210" s="37"/>
      <c r="AH210" s="17"/>
      <c r="AI210" s="17" t="b">
        <f t="shared" si="12"/>
        <v>1</v>
      </c>
      <c r="AJ210" s="17" t="b">
        <f t="shared" si="13"/>
        <v>1</v>
      </c>
      <c r="AK210" s="17" t="str">
        <f t="shared" si="14"/>
        <v>EM00000000</v>
      </c>
    </row>
    <row r="211" spans="1:37" ht="13.15" customHeight="1" x14ac:dyDescent="0.25">
      <c r="A211" s="37" t="s">
        <v>368</v>
      </c>
      <c r="B211" s="37">
        <v>1323</v>
      </c>
      <c r="C211" s="37" t="s">
        <v>349</v>
      </c>
      <c r="D211" s="37">
        <v>4</v>
      </c>
      <c r="E211" s="47" t="s">
        <v>205</v>
      </c>
      <c r="F211" s="48">
        <v>46266</v>
      </c>
      <c r="G211" s="48">
        <v>46295</v>
      </c>
      <c r="H211" s="37"/>
      <c r="I211" s="37"/>
      <c r="J211" s="37"/>
      <c r="K211" s="37"/>
      <c r="L211" s="37"/>
      <c r="M211" s="37"/>
      <c r="N211" s="37" t="s">
        <v>368</v>
      </c>
      <c r="O211" s="37" t="s">
        <v>349</v>
      </c>
      <c r="P211" s="51" t="s">
        <v>31</v>
      </c>
      <c r="Q211" s="37"/>
      <c r="R211" s="37" t="s">
        <v>31</v>
      </c>
      <c r="S211" s="37"/>
      <c r="T211" s="37" t="s">
        <v>204</v>
      </c>
      <c r="U211" s="37" t="s">
        <v>350</v>
      </c>
      <c r="V211" s="37"/>
      <c r="W211" s="37"/>
      <c r="X211" s="37" t="s">
        <v>31</v>
      </c>
      <c r="Y211" s="37"/>
      <c r="Z211" s="37" t="s">
        <v>31</v>
      </c>
      <c r="AA211" s="37"/>
      <c r="AB211" s="37" t="s">
        <v>31</v>
      </c>
      <c r="AC211" s="37"/>
      <c r="AD211" s="37" t="s">
        <v>31</v>
      </c>
      <c r="AE211" s="37"/>
      <c r="AH211" s="17"/>
      <c r="AI211" s="17" t="b">
        <f t="shared" si="12"/>
        <v>1</v>
      </c>
      <c r="AJ211" s="17" t="b">
        <f t="shared" si="13"/>
        <v>1</v>
      </c>
      <c r="AK211" s="17" t="str">
        <f t="shared" si="14"/>
        <v>EM00000000</v>
      </c>
    </row>
    <row r="212" spans="1:37" ht="13.15" customHeight="1" x14ac:dyDescent="0.25">
      <c r="A212" s="37" t="s">
        <v>204</v>
      </c>
      <c r="B212" s="37">
        <v>1320</v>
      </c>
      <c r="C212" s="37" t="s">
        <v>350</v>
      </c>
      <c r="D212" s="37">
        <v>7</v>
      </c>
      <c r="E212" s="47" t="s">
        <v>205</v>
      </c>
      <c r="F212" s="48">
        <v>46266</v>
      </c>
      <c r="G212" s="48">
        <v>46295</v>
      </c>
      <c r="H212" s="37"/>
      <c r="I212" s="37"/>
      <c r="J212" s="37"/>
      <c r="K212" s="37"/>
      <c r="L212" s="37"/>
      <c r="M212" s="37"/>
      <c r="N212" s="37"/>
      <c r="O212" s="37"/>
      <c r="P212" s="51" t="s">
        <v>31</v>
      </c>
      <c r="Q212" s="37"/>
      <c r="R212" s="37" t="s">
        <v>31</v>
      </c>
      <c r="S212" s="37"/>
      <c r="T212" s="37" t="s">
        <v>204</v>
      </c>
      <c r="U212" s="37" t="s">
        <v>350</v>
      </c>
      <c r="V212" s="37"/>
      <c r="W212" s="37"/>
      <c r="X212" s="37" t="s">
        <v>31</v>
      </c>
      <c r="Y212" s="37"/>
      <c r="Z212" s="37" t="s">
        <v>31</v>
      </c>
      <c r="AA212" s="37"/>
      <c r="AB212" s="37" t="s">
        <v>31</v>
      </c>
      <c r="AC212" s="37"/>
      <c r="AD212" s="37" t="s">
        <v>31</v>
      </c>
      <c r="AE212" s="37"/>
      <c r="AH212" s="17"/>
      <c r="AI212" s="17" t="b">
        <f t="shared" si="12"/>
        <v>1</v>
      </c>
      <c r="AJ212" s="17" t="b">
        <f t="shared" si="13"/>
        <v>1</v>
      </c>
      <c r="AK212" s="17">
        <f t="shared" si="14"/>
        <v>0</v>
      </c>
    </row>
    <row r="213" spans="1:37" ht="13.15" customHeight="1" x14ac:dyDescent="0.25">
      <c r="A213" s="37" t="s">
        <v>204</v>
      </c>
      <c r="B213" s="37">
        <v>1322</v>
      </c>
      <c r="C213" s="37" t="s">
        <v>350</v>
      </c>
      <c r="D213" s="37">
        <v>7</v>
      </c>
      <c r="E213" s="47" t="s">
        <v>205</v>
      </c>
      <c r="F213" s="48">
        <v>46266</v>
      </c>
      <c r="G213" s="48">
        <v>46295</v>
      </c>
      <c r="H213" s="37"/>
      <c r="I213" s="37"/>
      <c r="J213" s="37"/>
      <c r="K213" s="37"/>
      <c r="L213" s="37"/>
      <c r="M213" s="37"/>
      <c r="N213" s="37"/>
      <c r="O213" s="37"/>
      <c r="P213" s="52" t="s">
        <v>31</v>
      </c>
      <c r="Q213" s="37"/>
      <c r="R213" s="37" t="s">
        <v>31</v>
      </c>
      <c r="S213" s="37"/>
      <c r="T213" s="37" t="s">
        <v>204</v>
      </c>
      <c r="U213" s="37" t="s">
        <v>350</v>
      </c>
      <c r="V213" s="37"/>
      <c r="W213" s="37"/>
      <c r="X213" s="37" t="s">
        <v>31</v>
      </c>
      <c r="Y213" s="37"/>
      <c r="Z213" s="37" t="s">
        <v>31</v>
      </c>
      <c r="AA213" s="37"/>
      <c r="AB213" s="37" t="s">
        <v>31</v>
      </c>
      <c r="AC213" s="37"/>
      <c r="AD213" s="37" t="s">
        <v>31</v>
      </c>
      <c r="AE213" s="37"/>
      <c r="AH213" s="17"/>
      <c r="AI213" s="17" t="b">
        <f t="shared" si="12"/>
        <v>1</v>
      </c>
      <c r="AJ213" s="17" t="b">
        <f t="shared" si="13"/>
        <v>1</v>
      </c>
      <c r="AK213" s="17">
        <f t="shared" si="14"/>
        <v>0</v>
      </c>
    </row>
    <row r="214" spans="1:37" ht="13.15" customHeight="1" x14ac:dyDescent="0.25">
      <c r="A214" s="37" t="s">
        <v>204</v>
      </c>
      <c r="B214" s="37">
        <v>1323</v>
      </c>
      <c r="C214" s="37" t="s">
        <v>350</v>
      </c>
      <c r="D214" s="37">
        <v>7</v>
      </c>
      <c r="E214" s="47" t="s">
        <v>205</v>
      </c>
      <c r="F214" s="48">
        <v>46266</v>
      </c>
      <c r="G214" s="48">
        <v>46295</v>
      </c>
      <c r="H214" s="37"/>
      <c r="I214" s="37"/>
      <c r="J214" s="37"/>
      <c r="K214" s="37"/>
      <c r="L214" s="37"/>
      <c r="M214" s="37"/>
      <c r="N214" s="37"/>
      <c r="O214" s="37"/>
      <c r="P214" s="37" t="s">
        <v>31</v>
      </c>
      <c r="Q214" s="37"/>
      <c r="R214" s="37" t="s">
        <v>31</v>
      </c>
      <c r="S214" s="37"/>
      <c r="T214" s="37" t="s">
        <v>204</v>
      </c>
      <c r="U214" s="37" t="s">
        <v>350</v>
      </c>
      <c r="V214" s="37"/>
      <c r="W214" s="37"/>
      <c r="X214" s="37" t="s">
        <v>31</v>
      </c>
      <c r="Y214" s="37"/>
      <c r="Z214" s="37" t="s">
        <v>31</v>
      </c>
      <c r="AA214" s="37"/>
      <c r="AB214" s="37" t="s">
        <v>31</v>
      </c>
      <c r="AC214" s="37"/>
      <c r="AD214" s="37" t="s">
        <v>31</v>
      </c>
      <c r="AE214" s="37"/>
      <c r="AH214" s="17"/>
      <c r="AI214" s="17" t="b">
        <f t="shared" si="12"/>
        <v>1</v>
      </c>
      <c r="AJ214" s="17" t="b">
        <f t="shared" si="13"/>
        <v>1</v>
      </c>
      <c r="AK214" s="17">
        <f t="shared" si="14"/>
        <v>0</v>
      </c>
    </row>
    <row r="215" spans="1:37" ht="13.15" customHeight="1" x14ac:dyDescent="0.25">
      <c r="A215" s="75" t="str">
        <f>_xlfn.XLOOKUP(C215,[1]Sheet2!$D:$D,[1]Sheet2!$C:$C)</f>
        <v>EM00016035</v>
      </c>
      <c r="B215" s="37">
        <v>1315</v>
      </c>
      <c r="C215" s="37" t="s">
        <v>477</v>
      </c>
      <c r="D215" s="37">
        <v>1</v>
      </c>
      <c r="E215" s="47" t="s">
        <v>205</v>
      </c>
      <c r="F215" s="48">
        <v>46266</v>
      </c>
      <c r="G215" s="48">
        <v>46295</v>
      </c>
      <c r="H215" s="37" t="s">
        <v>612</v>
      </c>
      <c r="I215" s="37" t="s">
        <v>477</v>
      </c>
      <c r="J215" s="37" t="s">
        <v>616</v>
      </c>
      <c r="K215" s="37" t="s">
        <v>484</v>
      </c>
      <c r="L215" s="37"/>
      <c r="M215" s="37"/>
      <c r="N215" s="37" t="s">
        <v>640</v>
      </c>
      <c r="O215" s="37" t="s">
        <v>524</v>
      </c>
      <c r="P215" s="37" t="s">
        <v>31</v>
      </c>
      <c r="Q215" s="37"/>
      <c r="R215" s="37" t="s">
        <v>31</v>
      </c>
      <c r="S215" s="37"/>
      <c r="T215" s="37"/>
      <c r="U215" s="37"/>
      <c r="V215" s="37" t="s">
        <v>202</v>
      </c>
      <c r="W215" s="37" t="s">
        <v>203</v>
      </c>
      <c r="X215" s="37" t="s">
        <v>31</v>
      </c>
      <c r="Y215" s="37"/>
      <c r="Z215" s="37" t="s">
        <v>31</v>
      </c>
      <c r="AA215" s="37"/>
      <c r="AB215" s="37" t="s">
        <v>31</v>
      </c>
      <c r="AC215" s="37"/>
      <c r="AD215" s="37" t="s">
        <v>31</v>
      </c>
      <c r="AE215" s="37"/>
      <c r="AH215" s="17"/>
      <c r="AI215" s="17" t="b">
        <f t="shared" si="12"/>
        <v>1</v>
      </c>
      <c r="AJ215" s="17" t="b">
        <f t="shared" si="13"/>
        <v>1</v>
      </c>
      <c r="AK215" s="17" t="str">
        <f t="shared" si="14"/>
        <v>EM00015657</v>
      </c>
    </row>
    <row r="216" spans="1:37" ht="13.15" customHeight="1" x14ac:dyDescent="0.25">
      <c r="A216" s="75" t="str">
        <f>_xlfn.XLOOKUP(C216,[1]Sheet2!$D:$D,[1]Sheet2!$C:$C)</f>
        <v>EM00016375</v>
      </c>
      <c r="B216" s="37">
        <v>1315</v>
      </c>
      <c r="C216" s="37" t="s">
        <v>479</v>
      </c>
      <c r="D216" s="37">
        <v>1</v>
      </c>
      <c r="E216" s="47" t="s">
        <v>205</v>
      </c>
      <c r="F216" s="48">
        <v>46266</v>
      </c>
      <c r="G216" s="48">
        <v>46295</v>
      </c>
      <c r="H216" s="37" t="s">
        <v>619</v>
      </c>
      <c r="I216" s="37" t="s">
        <v>479</v>
      </c>
      <c r="J216" s="37" t="s">
        <v>616</v>
      </c>
      <c r="K216" s="37" t="s">
        <v>484</v>
      </c>
      <c r="L216" s="37"/>
      <c r="M216" s="37"/>
      <c r="N216" s="37" t="s">
        <v>640</v>
      </c>
      <c r="O216" s="37" t="s">
        <v>524</v>
      </c>
      <c r="P216" s="51" t="s">
        <v>31</v>
      </c>
      <c r="Q216" s="37"/>
      <c r="R216" s="37" t="s">
        <v>31</v>
      </c>
      <c r="S216" s="37"/>
      <c r="T216" s="37"/>
      <c r="U216" s="37"/>
      <c r="V216" s="37" t="s">
        <v>202</v>
      </c>
      <c r="W216" s="37" t="s">
        <v>203</v>
      </c>
      <c r="X216" s="37" t="s">
        <v>31</v>
      </c>
      <c r="Y216" s="37"/>
      <c r="Z216" s="37" t="s">
        <v>31</v>
      </c>
      <c r="AA216" s="37"/>
      <c r="AB216" s="37" t="s">
        <v>31</v>
      </c>
      <c r="AC216" s="37"/>
      <c r="AD216" s="37" t="s">
        <v>31</v>
      </c>
      <c r="AE216" s="37"/>
      <c r="AH216" s="17"/>
      <c r="AI216" s="17" t="b">
        <f t="shared" si="12"/>
        <v>1</v>
      </c>
      <c r="AJ216" s="17" t="b">
        <f t="shared" si="13"/>
        <v>1</v>
      </c>
      <c r="AK216" s="17" t="str">
        <f t="shared" si="14"/>
        <v>EM00015657</v>
      </c>
    </row>
    <row r="217" spans="1:37" ht="13.15" customHeight="1" x14ac:dyDescent="0.25">
      <c r="A217" s="75" t="str">
        <f>_xlfn.XLOOKUP(C217,[1]Sheet2!$D:$D,[1]Sheet2!$C:$C)</f>
        <v>EM00016262</v>
      </c>
      <c r="B217" s="37">
        <v>1315</v>
      </c>
      <c r="C217" s="37" t="s">
        <v>480</v>
      </c>
      <c r="D217" s="37">
        <v>1</v>
      </c>
      <c r="E217" s="47" t="s">
        <v>205</v>
      </c>
      <c r="F217" s="48">
        <v>46266</v>
      </c>
      <c r="G217" s="48">
        <v>46295</v>
      </c>
      <c r="H217" s="37" t="s">
        <v>615</v>
      </c>
      <c r="I217" s="37" t="s">
        <v>480</v>
      </c>
      <c r="J217" s="37" t="s">
        <v>616</v>
      </c>
      <c r="K217" s="37" t="s">
        <v>484</v>
      </c>
      <c r="L217" s="37"/>
      <c r="M217" s="37"/>
      <c r="N217" s="37" t="s">
        <v>640</v>
      </c>
      <c r="O217" s="37" t="s">
        <v>524</v>
      </c>
      <c r="P217" s="51" t="s">
        <v>31</v>
      </c>
      <c r="Q217" s="37"/>
      <c r="R217" s="37" t="s">
        <v>31</v>
      </c>
      <c r="S217" s="37"/>
      <c r="T217" s="37"/>
      <c r="U217" s="37"/>
      <c r="V217" s="37" t="s">
        <v>202</v>
      </c>
      <c r="W217" s="37" t="s">
        <v>203</v>
      </c>
      <c r="X217" s="37" t="s">
        <v>31</v>
      </c>
      <c r="Y217" s="37"/>
      <c r="Z217" s="37" t="s">
        <v>31</v>
      </c>
      <c r="AA217" s="37"/>
      <c r="AB217" s="37" t="s">
        <v>31</v>
      </c>
      <c r="AC217" s="37"/>
      <c r="AD217" s="37" t="s">
        <v>31</v>
      </c>
      <c r="AE217" s="37"/>
      <c r="AH217" s="17"/>
      <c r="AI217" s="17" t="b">
        <f t="shared" si="12"/>
        <v>1</v>
      </c>
      <c r="AJ217" s="17" t="b">
        <f t="shared" si="13"/>
        <v>1</v>
      </c>
      <c r="AK217" s="17" t="str">
        <f t="shared" si="14"/>
        <v>EM00015657</v>
      </c>
    </row>
    <row r="218" spans="1:37" ht="13.15" customHeight="1" x14ac:dyDescent="0.25">
      <c r="A218" s="75" t="str">
        <f>_xlfn.XLOOKUP(C218,[1]Sheet2!$D:$D,[1]Sheet2!$C:$C)</f>
        <v>EM00016049</v>
      </c>
      <c r="B218" s="37">
        <v>1315</v>
      </c>
      <c r="C218" s="37" t="s">
        <v>481</v>
      </c>
      <c r="D218" s="37">
        <v>1</v>
      </c>
      <c r="E218" s="47" t="s">
        <v>205</v>
      </c>
      <c r="F218" s="48">
        <v>46266</v>
      </c>
      <c r="G218" s="48">
        <v>46295</v>
      </c>
      <c r="H218" s="37" t="s">
        <v>614</v>
      </c>
      <c r="I218" s="37" t="s">
        <v>481</v>
      </c>
      <c r="J218" s="37" t="s">
        <v>616</v>
      </c>
      <c r="K218" s="37" t="s">
        <v>484</v>
      </c>
      <c r="L218" s="37"/>
      <c r="M218" s="37"/>
      <c r="N218" s="37" t="s">
        <v>640</v>
      </c>
      <c r="O218" s="37" t="s">
        <v>524</v>
      </c>
      <c r="P218" s="52" t="s">
        <v>31</v>
      </c>
      <c r="Q218" s="37"/>
      <c r="R218" s="37" t="s">
        <v>31</v>
      </c>
      <c r="S218" s="37"/>
      <c r="T218" s="37"/>
      <c r="U218" s="37"/>
      <c r="V218" s="37" t="s">
        <v>202</v>
      </c>
      <c r="W218" s="37" t="s">
        <v>203</v>
      </c>
      <c r="X218" s="37" t="s">
        <v>31</v>
      </c>
      <c r="Y218" s="37"/>
      <c r="Z218" s="37" t="s">
        <v>31</v>
      </c>
      <c r="AA218" s="37"/>
      <c r="AB218" s="37" t="s">
        <v>31</v>
      </c>
      <c r="AC218" s="37"/>
      <c r="AD218" s="37" t="s">
        <v>31</v>
      </c>
      <c r="AE218" s="37"/>
      <c r="AH218" s="17"/>
      <c r="AI218" s="17" t="b">
        <f t="shared" si="12"/>
        <v>1</v>
      </c>
      <c r="AJ218" s="17" t="b">
        <f t="shared" si="13"/>
        <v>1</v>
      </c>
      <c r="AK218" s="17" t="str">
        <f t="shared" si="14"/>
        <v>EM00015657</v>
      </c>
    </row>
    <row r="219" spans="1:37" ht="13.15" customHeight="1" x14ac:dyDescent="0.25">
      <c r="A219" s="75" t="str">
        <f>_xlfn.XLOOKUP(C219,[1]Sheet2!$D:$D,[1]Sheet2!$C:$C)</f>
        <v>EM00015717</v>
      </c>
      <c r="B219" s="37">
        <v>1315</v>
      </c>
      <c r="C219" s="37" t="s">
        <v>482</v>
      </c>
      <c r="D219" s="37">
        <v>1</v>
      </c>
      <c r="E219" s="47" t="s">
        <v>205</v>
      </c>
      <c r="F219" s="48">
        <v>46266</v>
      </c>
      <c r="G219" s="48">
        <v>46295</v>
      </c>
      <c r="H219" s="37" t="s">
        <v>613</v>
      </c>
      <c r="I219" s="37" t="s">
        <v>482</v>
      </c>
      <c r="J219" s="37" t="s">
        <v>616</v>
      </c>
      <c r="K219" s="37" t="s">
        <v>484</v>
      </c>
      <c r="L219" s="37"/>
      <c r="M219" s="37"/>
      <c r="N219" s="37" t="s">
        <v>640</v>
      </c>
      <c r="O219" s="37" t="s">
        <v>524</v>
      </c>
      <c r="P219" s="37" t="s">
        <v>31</v>
      </c>
      <c r="Q219" s="37"/>
      <c r="R219" s="37" t="s">
        <v>31</v>
      </c>
      <c r="S219" s="37"/>
      <c r="T219" s="37"/>
      <c r="U219" s="37"/>
      <c r="V219" s="37" t="s">
        <v>202</v>
      </c>
      <c r="W219" s="37" t="s">
        <v>203</v>
      </c>
      <c r="X219" s="37" t="s">
        <v>31</v>
      </c>
      <c r="Y219" s="37"/>
      <c r="Z219" s="37" t="s">
        <v>31</v>
      </c>
      <c r="AA219" s="37"/>
      <c r="AB219" s="37" t="s">
        <v>31</v>
      </c>
      <c r="AC219" s="37"/>
      <c r="AD219" s="37" t="s">
        <v>31</v>
      </c>
      <c r="AE219" s="37"/>
      <c r="AH219" s="17"/>
      <c r="AI219" s="17" t="b">
        <f t="shared" si="12"/>
        <v>1</v>
      </c>
      <c r="AJ219" s="17" t="b">
        <f t="shared" si="13"/>
        <v>1</v>
      </c>
      <c r="AK219" s="17" t="str">
        <f t="shared" si="14"/>
        <v>EM00015657</v>
      </c>
    </row>
    <row r="220" spans="1:37" ht="13.15" customHeight="1" x14ac:dyDescent="0.25">
      <c r="A220" s="75" t="str">
        <f>_xlfn.XLOOKUP(C220,[1]Sheet2!$D:$D,[1]Sheet2!$C:$C)</f>
        <v>EM00000000</v>
      </c>
      <c r="B220" s="37">
        <v>1315</v>
      </c>
      <c r="C220" s="37" t="s">
        <v>483</v>
      </c>
      <c r="D220" s="37">
        <v>1</v>
      </c>
      <c r="E220" s="47" t="s">
        <v>205</v>
      </c>
      <c r="F220" s="48">
        <v>46266</v>
      </c>
      <c r="G220" s="48">
        <v>46295</v>
      </c>
      <c r="H220" s="37" t="s">
        <v>31</v>
      </c>
      <c r="I220" s="37" t="s">
        <v>483</v>
      </c>
      <c r="J220" s="37" t="s">
        <v>616</v>
      </c>
      <c r="K220" s="37" t="s">
        <v>484</v>
      </c>
      <c r="L220" s="37"/>
      <c r="M220" s="37"/>
      <c r="N220" s="37" t="s">
        <v>640</v>
      </c>
      <c r="O220" s="37" t="s">
        <v>524</v>
      </c>
      <c r="P220" s="37" t="s">
        <v>31</v>
      </c>
      <c r="Q220" s="37"/>
      <c r="R220" s="37" t="s">
        <v>31</v>
      </c>
      <c r="S220" s="37"/>
      <c r="T220" s="37"/>
      <c r="U220" s="37"/>
      <c r="V220" s="37" t="s">
        <v>202</v>
      </c>
      <c r="W220" s="37" t="s">
        <v>203</v>
      </c>
      <c r="X220" s="37" t="s">
        <v>31</v>
      </c>
      <c r="Y220" s="37"/>
      <c r="Z220" s="37" t="s">
        <v>31</v>
      </c>
      <c r="AA220" s="37"/>
      <c r="AB220" s="37" t="s">
        <v>31</v>
      </c>
      <c r="AC220" s="37"/>
      <c r="AD220" s="37" t="s">
        <v>31</v>
      </c>
      <c r="AE220" s="37"/>
      <c r="AH220" s="17"/>
      <c r="AI220" s="17" t="b">
        <f t="shared" si="12"/>
        <v>1</v>
      </c>
      <c r="AJ220" s="17" t="b">
        <f t="shared" si="13"/>
        <v>1</v>
      </c>
      <c r="AK220" s="17" t="str">
        <f t="shared" si="14"/>
        <v>EM00015657</v>
      </c>
    </row>
    <row r="221" spans="1:37" ht="13.15" customHeight="1" x14ac:dyDescent="0.25">
      <c r="A221" s="75" t="str">
        <f>_xlfn.XLOOKUP(C221,[1]Sheet2!$D:$D,[1]Sheet2!$C:$C)</f>
        <v>EM00015657</v>
      </c>
      <c r="B221" s="37">
        <v>1315</v>
      </c>
      <c r="C221" s="37" t="s">
        <v>484</v>
      </c>
      <c r="D221" s="37">
        <v>2</v>
      </c>
      <c r="E221" s="47" t="s">
        <v>205</v>
      </c>
      <c r="F221" s="48">
        <v>46266</v>
      </c>
      <c r="G221" s="48">
        <v>46295</v>
      </c>
      <c r="H221" s="37"/>
      <c r="I221" s="37"/>
      <c r="J221" s="37" t="s">
        <v>616</v>
      </c>
      <c r="K221" s="37" t="s">
        <v>484</v>
      </c>
      <c r="L221" s="37"/>
      <c r="M221" s="37"/>
      <c r="N221" s="37" t="s">
        <v>640</v>
      </c>
      <c r="O221" s="37" t="s">
        <v>524</v>
      </c>
      <c r="P221" s="51" t="s">
        <v>31</v>
      </c>
      <c r="Q221" s="37"/>
      <c r="R221" s="37" t="s">
        <v>31</v>
      </c>
      <c r="S221" s="37"/>
      <c r="T221" s="37"/>
      <c r="U221" s="37"/>
      <c r="V221" s="37" t="s">
        <v>202</v>
      </c>
      <c r="W221" s="37" t="s">
        <v>203</v>
      </c>
      <c r="X221" s="37" t="s">
        <v>31</v>
      </c>
      <c r="Y221" s="37"/>
      <c r="Z221" s="37" t="s">
        <v>31</v>
      </c>
      <c r="AA221" s="37"/>
      <c r="AB221" s="37" t="s">
        <v>31</v>
      </c>
      <c r="AC221" s="37"/>
      <c r="AD221" s="37" t="s">
        <v>31</v>
      </c>
      <c r="AE221" s="37"/>
      <c r="AH221" s="17"/>
      <c r="AI221" s="17" t="b">
        <f t="shared" si="12"/>
        <v>1</v>
      </c>
      <c r="AJ221" s="17" t="b">
        <f t="shared" si="13"/>
        <v>1</v>
      </c>
      <c r="AK221" s="17" t="str">
        <f t="shared" si="14"/>
        <v>EM00001110</v>
      </c>
    </row>
    <row r="222" spans="1:37" ht="13.15" customHeight="1" x14ac:dyDescent="0.25">
      <c r="A222" s="75" t="str">
        <f>_xlfn.XLOOKUP(C222,[1]Sheet2!$D:$D,[1]Sheet2!$C:$C)</f>
        <v>EM00016034</v>
      </c>
      <c r="B222" s="37">
        <v>1315</v>
      </c>
      <c r="C222" s="37" t="s">
        <v>485</v>
      </c>
      <c r="D222" s="37">
        <v>1</v>
      </c>
      <c r="E222" s="47" t="s">
        <v>205</v>
      </c>
      <c r="F222" s="48">
        <v>46266</v>
      </c>
      <c r="G222" s="48">
        <v>46295</v>
      </c>
      <c r="H222" s="37" t="s">
        <v>622</v>
      </c>
      <c r="I222" s="37" t="s">
        <v>485</v>
      </c>
      <c r="J222" s="37" t="s">
        <v>623</v>
      </c>
      <c r="K222" s="37" t="s">
        <v>490</v>
      </c>
      <c r="L222" s="37"/>
      <c r="M222" s="37"/>
      <c r="N222" s="37" t="s">
        <v>640</v>
      </c>
      <c r="O222" s="37" t="s">
        <v>524</v>
      </c>
      <c r="P222" s="51" t="s">
        <v>31</v>
      </c>
      <c r="Q222" s="37"/>
      <c r="R222" s="37" t="s">
        <v>31</v>
      </c>
      <c r="S222" s="37"/>
      <c r="T222" s="37"/>
      <c r="U222" s="37"/>
      <c r="V222" s="37" t="s">
        <v>202</v>
      </c>
      <c r="W222" s="37" t="s">
        <v>203</v>
      </c>
      <c r="X222" s="37" t="s">
        <v>31</v>
      </c>
      <c r="Y222" s="37"/>
      <c r="Z222" s="37" t="s">
        <v>31</v>
      </c>
      <c r="AA222" s="37"/>
      <c r="AB222" s="37" t="s">
        <v>31</v>
      </c>
      <c r="AC222" s="37"/>
      <c r="AD222" s="37" t="s">
        <v>31</v>
      </c>
      <c r="AE222" s="37"/>
      <c r="AH222" s="17"/>
      <c r="AI222" s="17" t="b">
        <f t="shared" si="12"/>
        <v>1</v>
      </c>
      <c r="AJ222" s="17" t="b">
        <f t="shared" si="13"/>
        <v>1</v>
      </c>
      <c r="AK222" s="17" t="str">
        <f t="shared" si="14"/>
        <v>EM00007842</v>
      </c>
    </row>
    <row r="223" spans="1:37" ht="13.15" customHeight="1" x14ac:dyDescent="0.25">
      <c r="A223" s="75" t="str">
        <f>_xlfn.XLOOKUP(C223,[1]Sheet2!$D:$D,[1]Sheet2!$C:$C)</f>
        <v>EM00016063</v>
      </c>
      <c r="B223" s="37">
        <v>1315</v>
      </c>
      <c r="C223" s="37" t="s">
        <v>486</v>
      </c>
      <c r="D223" s="37">
        <v>1</v>
      </c>
      <c r="E223" s="47" t="s">
        <v>205</v>
      </c>
      <c r="F223" s="48">
        <v>46266</v>
      </c>
      <c r="G223" s="48">
        <v>46295</v>
      </c>
      <c r="H223" s="37" t="s">
        <v>618</v>
      </c>
      <c r="I223" s="37" t="s">
        <v>486</v>
      </c>
      <c r="J223" s="37" t="s">
        <v>623</v>
      </c>
      <c r="K223" s="37" t="s">
        <v>490</v>
      </c>
      <c r="L223" s="37"/>
      <c r="M223" s="37"/>
      <c r="N223" s="37" t="s">
        <v>640</v>
      </c>
      <c r="O223" s="37" t="s">
        <v>524</v>
      </c>
      <c r="P223" s="52" t="s">
        <v>31</v>
      </c>
      <c r="Q223" s="37"/>
      <c r="R223" s="37" t="s">
        <v>31</v>
      </c>
      <c r="S223" s="37"/>
      <c r="T223" s="37"/>
      <c r="U223" s="37"/>
      <c r="V223" s="37" t="s">
        <v>202</v>
      </c>
      <c r="W223" s="37" t="s">
        <v>203</v>
      </c>
      <c r="X223" s="37" t="s">
        <v>31</v>
      </c>
      <c r="Y223" s="37"/>
      <c r="Z223" s="37" t="s">
        <v>31</v>
      </c>
      <c r="AA223" s="37"/>
      <c r="AB223" s="37" t="s">
        <v>31</v>
      </c>
      <c r="AC223" s="37"/>
      <c r="AD223" s="37" t="s">
        <v>31</v>
      </c>
      <c r="AE223" s="37"/>
      <c r="AH223" s="17"/>
      <c r="AI223" s="17" t="b">
        <f t="shared" si="12"/>
        <v>1</v>
      </c>
      <c r="AJ223" s="17" t="b">
        <f t="shared" si="13"/>
        <v>1</v>
      </c>
      <c r="AK223" s="17" t="str">
        <f t="shared" si="14"/>
        <v>EM00007842</v>
      </c>
    </row>
    <row r="224" spans="1:37" ht="13.15" customHeight="1" x14ac:dyDescent="0.25">
      <c r="A224" s="75" t="str">
        <f>_xlfn.XLOOKUP(C224,[1]Sheet2!$D:$D,[1]Sheet2!$C:$C)</f>
        <v>EM00016043</v>
      </c>
      <c r="B224" s="37">
        <v>1315</v>
      </c>
      <c r="C224" s="37" t="s">
        <v>487</v>
      </c>
      <c r="D224" s="37">
        <v>1</v>
      </c>
      <c r="E224" s="47" t="s">
        <v>205</v>
      </c>
      <c r="F224" s="48">
        <v>46266</v>
      </c>
      <c r="G224" s="48">
        <v>46295</v>
      </c>
      <c r="H224" s="37" t="s">
        <v>617</v>
      </c>
      <c r="I224" s="37" t="s">
        <v>487</v>
      </c>
      <c r="J224" s="37" t="s">
        <v>623</v>
      </c>
      <c r="K224" s="37" t="s">
        <v>490</v>
      </c>
      <c r="L224" s="37"/>
      <c r="M224" s="37"/>
      <c r="N224" s="37" t="s">
        <v>640</v>
      </c>
      <c r="O224" s="37" t="s">
        <v>524</v>
      </c>
      <c r="P224" s="37" t="s">
        <v>31</v>
      </c>
      <c r="Q224" s="37"/>
      <c r="R224" s="37" t="s">
        <v>31</v>
      </c>
      <c r="S224" s="37"/>
      <c r="T224" s="37"/>
      <c r="U224" s="37"/>
      <c r="V224" s="37" t="s">
        <v>202</v>
      </c>
      <c r="W224" s="37" t="s">
        <v>203</v>
      </c>
      <c r="X224" s="37" t="s">
        <v>31</v>
      </c>
      <c r="Y224" s="37"/>
      <c r="Z224" s="37" t="s">
        <v>31</v>
      </c>
      <c r="AA224" s="37"/>
      <c r="AB224" s="37" t="s">
        <v>31</v>
      </c>
      <c r="AC224" s="37"/>
      <c r="AD224" s="37" t="s">
        <v>31</v>
      </c>
      <c r="AE224" s="37"/>
      <c r="AH224" s="17"/>
      <c r="AI224" s="17" t="b">
        <f t="shared" si="12"/>
        <v>1</v>
      </c>
      <c r="AJ224" s="17" t="b">
        <f t="shared" si="13"/>
        <v>1</v>
      </c>
      <c r="AK224" s="17" t="str">
        <f t="shared" si="14"/>
        <v>EM00007842</v>
      </c>
    </row>
    <row r="225" spans="1:37" ht="13.15" customHeight="1" x14ac:dyDescent="0.25">
      <c r="A225" s="75" t="str">
        <f>_xlfn.XLOOKUP(C225,[1]Sheet2!$D:$D,[1]Sheet2!$C:$C)</f>
        <v>EM00016056</v>
      </c>
      <c r="B225" s="37">
        <v>1315</v>
      </c>
      <c r="C225" s="37" t="s">
        <v>488</v>
      </c>
      <c r="D225" s="37">
        <v>1</v>
      </c>
      <c r="E225" s="47" t="s">
        <v>205</v>
      </c>
      <c r="F225" s="48">
        <v>46266</v>
      </c>
      <c r="G225" s="48">
        <v>46295</v>
      </c>
      <c r="H225" s="37" t="s">
        <v>620</v>
      </c>
      <c r="I225" s="37" t="s">
        <v>488</v>
      </c>
      <c r="J225" s="37" t="s">
        <v>623</v>
      </c>
      <c r="K225" s="37" t="s">
        <v>490</v>
      </c>
      <c r="L225" s="37"/>
      <c r="M225" s="37"/>
      <c r="N225" s="37" t="s">
        <v>640</v>
      </c>
      <c r="O225" s="37" t="s">
        <v>524</v>
      </c>
      <c r="P225" s="37" t="s">
        <v>31</v>
      </c>
      <c r="Q225" s="37"/>
      <c r="R225" s="37" t="s">
        <v>31</v>
      </c>
      <c r="S225" s="37"/>
      <c r="T225" s="37"/>
      <c r="U225" s="37"/>
      <c r="V225" s="37" t="s">
        <v>202</v>
      </c>
      <c r="W225" s="37" t="s">
        <v>203</v>
      </c>
      <c r="X225" s="37" t="s">
        <v>31</v>
      </c>
      <c r="Y225" s="37"/>
      <c r="Z225" s="37" t="s">
        <v>31</v>
      </c>
      <c r="AA225" s="37"/>
      <c r="AB225" s="37" t="s">
        <v>31</v>
      </c>
      <c r="AC225" s="37"/>
      <c r="AD225" s="37" t="s">
        <v>31</v>
      </c>
      <c r="AE225" s="37"/>
      <c r="AH225" s="17"/>
      <c r="AI225" s="17" t="b">
        <f t="shared" si="12"/>
        <v>1</v>
      </c>
      <c r="AJ225" s="17" t="b">
        <f t="shared" si="13"/>
        <v>1</v>
      </c>
      <c r="AK225" s="17" t="str">
        <f t="shared" si="14"/>
        <v>EM00007842</v>
      </c>
    </row>
    <row r="226" spans="1:37" ht="13.15" customHeight="1" x14ac:dyDescent="0.25">
      <c r="A226" s="75" t="str">
        <f>_xlfn.XLOOKUP(C226,[1]Sheet2!$D:$D,[1]Sheet2!$C:$C)</f>
        <v>EM00016037</v>
      </c>
      <c r="B226" s="37">
        <v>1315</v>
      </c>
      <c r="C226" s="37" t="s">
        <v>489</v>
      </c>
      <c r="D226" s="37">
        <v>1</v>
      </c>
      <c r="E226" s="47" t="s">
        <v>205</v>
      </c>
      <c r="F226" s="48">
        <v>46266</v>
      </c>
      <c r="G226" s="48">
        <v>46295</v>
      </c>
      <c r="H226" s="37" t="s">
        <v>621</v>
      </c>
      <c r="I226" s="37" t="s">
        <v>489</v>
      </c>
      <c r="J226" s="37" t="s">
        <v>623</v>
      </c>
      <c r="K226" s="37" t="s">
        <v>490</v>
      </c>
      <c r="L226" s="37"/>
      <c r="M226" s="37"/>
      <c r="N226" s="37" t="s">
        <v>640</v>
      </c>
      <c r="O226" s="37" t="s">
        <v>524</v>
      </c>
      <c r="P226" s="51" t="s">
        <v>31</v>
      </c>
      <c r="Q226" s="37"/>
      <c r="R226" s="37" t="s">
        <v>31</v>
      </c>
      <c r="S226" s="37"/>
      <c r="T226" s="37"/>
      <c r="U226" s="37"/>
      <c r="V226" s="37" t="s">
        <v>202</v>
      </c>
      <c r="W226" s="37" t="s">
        <v>203</v>
      </c>
      <c r="X226" s="37" t="s">
        <v>31</v>
      </c>
      <c r="Y226" s="37"/>
      <c r="Z226" s="37" t="s">
        <v>31</v>
      </c>
      <c r="AA226" s="37"/>
      <c r="AB226" s="37" t="s">
        <v>31</v>
      </c>
      <c r="AC226" s="37"/>
      <c r="AD226" s="37" t="s">
        <v>31</v>
      </c>
      <c r="AE226" s="37"/>
      <c r="AH226" s="17"/>
      <c r="AI226" s="17" t="b">
        <f t="shared" si="12"/>
        <v>1</v>
      </c>
      <c r="AJ226" s="17" t="b">
        <f t="shared" si="13"/>
        <v>1</v>
      </c>
      <c r="AK226" s="17" t="str">
        <f t="shared" si="14"/>
        <v>EM00007842</v>
      </c>
    </row>
    <row r="227" spans="1:37" ht="13.15" customHeight="1" x14ac:dyDescent="0.25">
      <c r="A227" s="75" t="str">
        <f>_xlfn.XLOOKUP(C227,[1]Sheet2!$D:$D,[1]Sheet2!$C:$C)</f>
        <v>EM00007842</v>
      </c>
      <c r="B227" s="37">
        <v>1315</v>
      </c>
      <c r="C227" s="37" t="s">
        <v>490</v>
      </c>
      <c r="D227" s="37">
        <v>2</v>
      </c>
      <c r="E227" s="47" t="s">
        <v>205</v>
      </c>
      <c r="F227" s="48">
        <v>46266</v>
      </c>
      <c r="G227" s="48">
        <v>46295</v>
      </c>
      <c r="H227" s="37"/>
      <c r="I227" s="37"/>
      <c r="J227" s="37" t="s">
        <v>623</v>
      </c>
      <c r="K227" s="37" t="s">
        <v>490</v>
      </c>
      <c r="L227" s="37"/>
      <c r="M227" s="37"/>
      <c r="N227" s="37" t="s">
        <v>640</v>
      </c>
      <c r="O227" s="37" t="s">
        <v>524</v>
      </c>
      <c r="P227" s="51" t="s">
        <v>31</v>
      </c>
      <c r="Q227" s="37"/>
      <c r="R227" s="37" t="s">
        <v>31</v>
      </c>
      <c r="S227" s="37"/>
      <c r="T227" s="37"/>
      <c r="U227" s="37"/>
      <c r="V227" s="37" t="s">
        <v>202</v>
      </c>
      <c r="W227" s="37" t="s">
        <v>203</v>
      </c>
      <c r="X227" s="37" t="s">
        <v>31</v>
      </c>
      <c r="Y227" s="37"/>
      <c r="Z227" s="37" t="s">
        <v>31</v>
      </c>
      <c r="AA227" s="37"/>
      <c r="AB227" s="37" t="s">
        <v>31</v>
      </c>
      <c r="AC227" s="37"/>
      <c r="AD227" s="37" t="s">
        <v>31</v>
      </c>
      <c r="AE227" s="37"/>
      <c r="AH227" s="17"/>
      <c r="AI227" s="17" t="b">
        <f t="shared" si="12"/>
        <v>1</v>
      </c>
      <c r="AJ227" s="17" t="b">
        <f t="shared" si="13"/>
        <v>1</v>
      </c>
      <c r="AK227" s="17" t="str">
        <f t="shared" si="14"/>
        <v>EM00001110</v>
      </c>
    </row>
    <row r="228" spans="1:37" ht="13.15" customHeight="1" x14ac:dyDescent="0.25">
      <c r="A228" s="75" t="str">
        <f>_xlfn.XLOOKUP(C228,[1]Sheet2!$D:$D,[1]Sheet2!$C:$C)</f>
        <v>EM00000000</v>
      </c>
      <c r="B228" s="37">
        <v>1315</v>
      </c>
      <c r="C228" s="37" t="s">
        <v>491</v>
      </c>
      <c r="D228" s="37">
        <v>1</v>
      </c>
      <c r="E228" s="47" t="s">
        <v>205</v>
      </c>
      <c r="F228" s="48">
        <v>46266</v>
      </c>
      <c r="G228" s="48">
        <v>46295</v>
      </c>
      <c r="H228" s="37" t="s">
        <v>31</v>
      </c>
      <c r="I228" s="37" t="s">
        <v>491</v>
      </c>
      <c r="J228" s="37" t="s">
        <v>628</v>
      </c>
      <c r="K228" s="37" t="s">
        <v>498</v>
      </c>
      <c r="L228" s="37"/>
      <c r="M228" s="37"/>
      <c r="N228" s="37" t="s">
        <v>640</v>
      </c>
      <c r="O228" s="37" t="s">
        <v>524</v>
      </c>
      <c r="P228" s="52" t="s">
        <v>31</v>
      </c>
      <c r="Q228" s="37"/>
      <c r="R228" s="37" t="s">
        <v>31</v>
      </c>
      <c r="S228" s="37"/>
      <c r="T228" s="37"/>
      <c r="U228" s="37"/>
      <c r="V228" s="37" t="s">
        <v>202</v>
      </c>
      <c r="W228" s="37" t="s">
        <v>203</v>
      </c>
      <c r="X228" s="37" t="s">
        <v>31</v>
      </c>
      <c r="Y228" s="37"/>
      <c r="Z228" s="37" t="s">
        <v>31</v>
      </c>
      <c r="AA228" s="37"/>
      <c r="AB228" s="37" t="s">
        <v>31</v>
      </c>
      <c r="AC228" s="37"/>
      <c r="AD228" s="37" t="s">
        <v>31</v>
      </c>
      <c r="AE228" s="37"/>
      <c r="AH228" s="17"/>
      <c r="AI228" s="17" t="b">
        <f t="shared" si="12"/>
        <v>1</v>
      </c>
      <c r="AJ228" s="17" t="b">
        <f t="shared" si="13"/>
        <v>1</v>
      </c>
      <c r="AK228" s="17" t="str">
        <f t="shared" si="14"/>
        <v>EM00016184</v>
      </c>
    </row>
    <row r="229" spans="1:37" ht="13.15" customHeight="1" x14ac:dyDescent="0.25">
      <c r="A229" s="75" t="str">
        <f>_xlfn.XLOOKUP(C229,[1]Sheet2!$D:$D,[1]Sheet2!$C:$C)</f>
        <v>EM00016258</v>
      </c>
      <c r="B229" s="37">
        <v>1315</v>
      </c>
      <c r="C229" s="37" t="s">
        <v>492</v>
      </c>
      <c r="D229" s="37">
        <v>1</v>
      </c>
      <c r="E229" s="47" t="s">
        <v>205</v>
      </c>
      <c r="F229" s="48">
        <v>46266</v>
      </c>
      <c r="G229" s="48">
        <v>46295</v>
      </c>
      <c r="H229" s="37" t="s">
        <v>624</v>
      </c>
      <c r="I229" s="37" t="s">
        <v>492</v>
      </c>
      <c r="J229" s="37" t="s">
        <v>628</v>
      </c>
      <c r="K229" s="37" t="s">
        <v>498</v>
      </c>
      <c r="L229" s="37"/>
      <c r="M229" s="37"/>
      <c r="N229" s="37" t="s">
        <v>640</v>
      </c>
      <c r="O229" s="37" t="s">
        <v>524</v>
      </c>
      <c r="P229" s="37" t="s">
        <v>31</v>
      </c>
      <c r="Q229" s="37"/>
      <c r="R229" s="37" t="s">
        <v>31</v>
      </c>
      <c r="S229" s="37"/>
      <c r="T229" s="37"/>
      <c r="U229" s="37"/>
      <c r="V229" s="37" t="s">
        <v>202</v>
      </c>
      <c r="W229" s="37" t="s">
        <v>203</v>
      </c>
      <c r="X229" s="37" t="s">
        <v>31</v>
      </c>
      <c r="Y229" s="37"/>
      <c r="Z229" s="37" t="s">
        <v>31</v>
      </c>
      <c r="AA229" s="37"/>
      <c r="AB229" s="37" t="s">
        <v>31</v>
      </c>
      <c r="AC229" s="37"/>
      <c r="AD229" s="37" t="s">
        <v>31</v>
      </c>
      <c r="AE229" s="37"/>
      <c r="AH229" s="17"/>
      <c r="AI229" s="17" t="b">
        <f t="shared" si="12"/>
        <v>1</v>
      </c>
      <c r="AJ229" s="17" t="b">
        <f t="shared" si="13"/>
        <v>1</v>
      </c>
      <c r="AK229" s="17" t="str">
        <f t="shared" si="14"/>
        <v>EM00016184</v>
      </c>
    </row>
    <row r="230" spans="1:37" ht="13.15" customHeight="1" x14ac:dyDescent="0.25">
      <c r="A230" s="75" t="str">
        <f>_xlfn.XLOOKUP(C230,[1]Sheet2!$D:$D,[1]Sheet2!$C:$C)</f>
        <v>EM00016257</v>
      </c>
      <c r="B230" s="37">
        <v>1315</v>
      </c>
      <c r="C230" s="37" t="s">
        <v>493</v>
      </c>
      <c r="D230" s="37">
        <v>1</v>
      </c>
      <c r="E230" s="47" t="s">
        <v>205</v>
      </c>
      <c r="F230" s="48">
        <v>46266</v>
      </c>
      <c r="G230" s="48">
        <v>46295</v>
      </c>
      <c r="H230" s="37" t="s">
        <v>625</v>
      </c>
      <c r="I230" s="37" t="s">
        <v>493</v>
      </c>
      <c r="J230" s="37" t="s">
        <v>628</v>
      </c>
      <c r="K230" s="37" t="s">
        <v>498</v>
      </c>
      <c r="L230" s="37"/>
      <c r="M230" s="37"/>
      <c r="N230" s="37" t="s">
        <v>640</v>
      </c>
      <c r="O230" s="37" t="s">
        <v>524</v>
      </c>
      <c r="P230" s="37" t="s">
        <v>31</v>
      </c>
      <c r="Q230" s="37"/>
      <c r="R230" s="37" t="s">
        <v>31</v>
      </c>
      <c r="S230" s="37"/>
      <c r="T230" s="37"/>
      <c r="U230" s="37"/>
      <c r="V230" s="37" t="s">
        <v>202</v>
      </c>
      <c r="W230" s="37" t="s">
        <v>203</v>
      </c>
      <c r="X230" s="37" t="s">
        <v>31</v>
      </c>
      <c r="Y230" s="37"/>
      <c r="Z230" s="37" t="s">
        <v>31</v>
      </c>
      <c r="AA230" s="37"/>
      <c r="AB230" s="37" t="s">
        <v>31</v>
      </c>
      <c r="AC230" s="37"/>
      <c r="AD230" s="37" t="s">
        <v>31</v>
      </c>
      <c r="AE230" s="37"/>
      <c r="AH230" s="17"/>
      <c r="AI230" s="17" t="b">
        <f t="shared" si="12"/>
        <v>1</v>
      </c>
      <c r="AJ230" s="17" t="b">
        <f t="shared" si="13"/>
        <v>1</v>
      </c>
      <c r="AK230" s="17" t="str">
        <f t="shared" si="14"/>
        <v>EM00016184</v>
      </c>
    </row>
    <row r="231" spans="1:37" ht="13.15" customHeight="1" x14ac:dyDescent="0.25">
      <c r="A231" s="75" t="str">
        <f>_xlfn.XLOOKUP(C231,[1]Sheet2!$D:$D,[1]Sheet2!$C:$C)</f>
        <v>EM00016377</v>
      </c>
      <c r="B231" s="37">
        <v>1315</v>
      </c>
      <c r="C231" s="37" t="s">
        <v>494</v>
      </c>
      <c r="D231" s="37">
        <v>1</v>
      </c>
      <c r="E231" s="47" t="s">
        <v>205</v>
      </c>
      <c r="F231" s="48">
        <v>46266</v>
      </c>
      <c r="G231" s="48">
        <v>46295</v>
      </c>
      <c r="H231" s="37" t="s">
        <v>626</v>
      </c>
      <c r="I231" s="37" t="s">
        <v>494</v>
      </c>
      <c r="J231" s="37" t="s">
        <v>628</v>
      </c>
      <c r="K231" s="37" t="s">
        <v>498</v>
      </c>
      <c r="L231" s="37"/>
      <c r="M231" s="37"/>
      <c r="N231" s="37" t="s">
        <v>640</v>
      </c>
      <c r="O231" s="37" t="s">
        <v>524</v>
      </c>
      <c r="P231" s="51" t="s">
        <v>31</v>
      </c>
      <c r="Q231" s="37"/>
      <c r="R231" s="37" t="s">
        <v>31</v>
      </c>
      <c r="S231" s="37"/>
      <c r="T231" s="37"/>
      <c r="U231" s="37"/>
      <c r="V231" s="37" t="s">
        <v>202</v>
      </c>
      <c r="W231" s="37" t="s">
        <v>203</v>
      </c>
      <c r="X231" s="37" t="s">
        <v>31</v>
      </c>
      <c r="Y231" s="37"/>
      <c r="Z231" s="37" t="s">
        <v>31</v>
      </c>
      <c r="AA231" s="37"/>
      <c r="AB231" s="37" t="s">
        <v>31</v>
      </c>
      <c r="AC231" s="37"/>
      <c r="AD231" s="37" t="s">
        <v>31</v>
      </c>
      <c r="AE231" s="37"/>
      <c r="AH231" s="17"/>
      <c r="AI231" s="17" t="b">
        <f t="shared" si="12"/>
        <v>1</v>
      </c>
      <c r="AJ231" s="17" t="b">
        <f t="shared" si="13"/>
        <v>1</v>
      </c>
      <c r="AK231" s="17" t="str">
        <f t="shared" si="14"/>
        <v>EM00016184</v>
      </c>
    </row>
    <row r="232" spans="1:37" ht="13.15" customHeight="1" x14ac:dyDescent="0.25">
      <c r="A232" s="75" t="str">
        <f>_xlfn.XLOOKUP(C232,[1]Sheet2!$D:$D,[1]Sheet2!$C:$C)</f>
        <v>EM00016039</v>
      </c>
      <c r="B232" s="37">
        <v>1315</v>
      </c>
      <c r="C232" s="37" t="s">
        <v>495</v>
      </c>
      <c r="D232" s="37">
        <v>1</v>
      </c>
      <c r="E232" s="47" t="s">
        <v>205</v>
      </c>
      <c r="F232" s="48">
        <v>46266</v>
      </c>
      <c r="G232" s="48">
        <v>46295</v>
      </c>
      <c r="H232" s="37" t="s">
        <v>627</v>
      </c>
      <c r="I232" s="37" t="s">
        <v>495</v>
      </c>
      <c r="J232" s="37" t="s">
        <v>628</v>
      </c>
      <c r="K232" s="37" t="s">
        <v>498</v>
      </c>
      <c r="L232" s="37"/>
      <c r="M232" s="37"/>
      <c r="N232" s="37" t="s">
        <v>640</v>
      </c>
      <c r="O232" s="37" t="s">
        <v>524</v>
      </c>
      <c r="P232" s="51" t="s">
        <v>31</v>
      </c>
      <c r="Q232" s="37"/>
      <c r="R232" s="37" t="s">
        <v>31</v>
      </c>
      <c r="S232" s="37"/>
      <c r="T232" s="37"/>
      <c r="U232" s="37"/>
      <c r="V232" s="37" t="s">
        <v>202</v>
      </c>
      <c r="W232" s="37" t="s">
        <v>203</v>
      </c>
      <c r="X232" s="37" t="s">
        <v>31</v>
      </c>
      <c r="Y232" s="37"/>
      <c r="Z232" s="37" t="s">
        <v>31</v>
      </c>
      <c r="AA232" s="37"/>
      <c r="AB232" s="37" t="s">
        <v>31</v>
      </c>
      <c r="AC232" s="37"/>
      <c r="AD232" s="37" t="s">
        <v>31</v>
      </c>
      <c r="AE232" s="37"/>
      <c r="AH232" s="17"/>
      <c r="AI232" s="17" t="b">
        <f t="shared" si="12"/>
        <v>1</v>
      </c>
      <c r="AJ232" s="17" t="b">
        <f t="shared" si="13"/>
        <v>1</v>
      </c>
      <c r="AK232" s="17" t="str">
        <f t="shared" si="14"/>
        <v>EM00016184</v>
      </c>
    </row>
    <row r="233" spans="1:37" ht="13.15" customHeight="1" x14ac:dyDescent="0.25">
      <c r="A233" s="75" t="str">
        <f>_xlfn.XLOOKUP(C233,[1]Sheet2!$D:$D,[1]Sheet2!$C:$C)</f>
        <v>EM00000000</v>
      </c>
      <c r="B233" s="37">
        <v>1315</v>
      </c>
      <c r="C233" s="37" t="s">
        <v>496</v>
      </c>
      <c r="D233" s="37">
        <v>1</v>
      </c>
      <c r="E233" s="47" t="s">
        <v>205</v>
      </c>
      <c r="F233" s="48">
        <v>46266</v>
      </c>
      <c r="G233" s="48">
        <v>46295</v>
      </c>
      <c r="H233" s="37" t="s">
        <v>31</v>
      </c>
      <c r="I233" s="37" t="s">
        <v>496</v>
      </c>
      <c r="J233" s="37" t="s">
        <v>628</v>
      </c>
      <c r="K233" s="37" t="s">
        <v>498</v>
      </c>
      <c r="L233" s="37"/>
      <c r="M233" s="37"/>
      <c r="N233" s="37" t="s">
        <v>640</v>
      </c>
      <c r="O233" s="37" t="s">
        <v>524</v>
      </c>
      <c r="P233" s="52" t="s">
        <v>31</v>
      </c>
      <c r="Q233" s="37"/>
      <c r="R233" s="37" t="s">
        <v>31</v>
      </c>
      <c r="S233" s="37"/>
      <c r="T233" s="37"/>
      <c r="U233" s="37"/>
      <c r="V233" s="37" t="s">
        <v>202</v>
      </c>
      <c r="W233" s="37" t="s">
        <v>203</v>
      </c>
      <c r="X233" s="37" t="s">
        <v>31</v>
      </c>
      <c r="Y233" s="37"/>
      <c r="Z233" s="37" t="s">
        <v>31</v>
      </c>
      <c r="AA233" s="37"/>
      <c r="AB233" s="37" t="s">
        <v>31</v>
      </c>
      <c r="AC233" s="37"/>
      <c r="AD233" s="37" t="s">
        <v>31</v>
      </c>
      <c r="AE233" s="37"/>
      <c r="AH233" s="17"/>
      <c r="AI233" s="17" t="b">
        <f t="shared" si="12"/>
        <v>1</v>
      </c>
      <c r="AJ233" s="17" t="b">
        <f t="shared" si="13"/>
        <v>1</v>
      </c>
      <c r="AK233" s="17" t="str">
        <f t="shared" si="14"/>
        <v>EM00016184</v>
      </c>
    </row>
    <row r="234" spans="1:37" ht="13.15" customHeight="1" x14ac:dyDescent="0.25">
      <c r="A234" s="75" t="str">
        <f>_xlfn.XLOOKUP(C234,[1]Sheet2!$D:$D,[1]Sheet2!$C:$C)</f>
        <v>EM00000000</v>
      </c>
      <c r="B234" s="37">
        <v>1315</v>
      </c>
      <c r="C234" s="37" t="s">
        <v>497</v>
      </c>
      <c r="D234" s="37">
        <v>1</v>
      </c>
      <c r="E234" s="47" t="s">
        <v>205</v>
      </c>
      <c r="F234" s="48">
        <v>46266</v>
      </c>
      <c r="G234" s="48">
        <v>46295</v>
      </c>
      <c r="H234" s="37" t="s">
        <v>31</v>
      </c>
      <c r="I234" s="37" t="s">
        <v>497</v>
      </c>
      <c r="J234" s="37" t="s">
        <v>628</v>
      </c>
      <c r="K234" s="37" t="s">
        <v>498</v>
      </c>
      <c r="L234" s="37"/>
      <c r="M234" s="37"/>
      <c r="N234" s="37" t="s">
        <v>640</v>
      </c>
      <c r="O234" s="37" t="s">
        <v>524</v>
      </c>
      <c r="P234" s="37" t="s">
        <v>31</v>
      </c>
      <c r="Q234" s="37"/>
      <c r="R234" s="37" t="s">
        <v>31</v>
      </c>
      <c r="S234" s="37"/>
      <c r="T234" s="37"/>
      <c r="U234" s="37"/>
      <c r="V234" s="37" t="s">
        <v>202</v>
      </c>
      <c r="W234" s="37" t="s">
        <v>203</v>
      </c>
      <c r="X234" s="37" t="s">
        <v>31</v>
      </c>
      <c r="Y234" s="37"/>
      <c r="Z234" s="37" t="s">
        <v>31</v>
      </c>
      <c r="AA234" s="37"/>
      <c r="AB234" s="37" t="s">
        <v>31</v>
      </c>
      <c r="AC234" s="37"/>
      <c r="AD234" s="37" t="s">
        <v>31</v>
      </c>
      <c r="AE234" s="37"/>
      <c r="AH234" s="17"/>
      <c r="AI234" s="17" t="b">
        <f t="shared" si="12"/>
        <v>1</v>
      </c>
      <c r="AJ234" s="17" t="b">
        <f t="shared" si="13"/>
        <v>1</v>
      </c>
      <c r="AK234" s="17" t="str">
        <f t="shared" si="14"/>
        <v>EM00016184</v>
      </c>
    </row>
    <row r="235" spans="1:37" ht="13.15" customHeight="1" x14ac:dyDescent="0.25">
      <c r="A235" s="75" t="str">
        <f>_xlfn.XLOOKUP(C235,[1]Sheet2!$D:$D,[1]Sheet2!$C:$C)</f>
        <v>EM00016184</v>
      </c>
      <c r="B235" s="37">
        <v>1315</v>
      </c>
      <c r="C235" s="37" t="s">
        <v>498</v>
      </c>
      <c r="D235" s="37">
        <v>2</v>
      </c>
      <c r="E235" s="47" t="s">
        <v>205</v>
      </c>
      <c r="F235" s="48">
        <v>46266</v>
      </c>
      <c r="G235" s="48">
        <v>46295</v>
      </c>
      <c r="H235" s="37"/>
      <c r="I235" s="37"/>
      <c r="J235" s="37" t="s">
        <v>628</v>
      </c>
      <c r="K235" s="37" t="s">
        <v>498</v>
      </c>
      <c r="L235" s="37"/>
      <c r="M235" s="37"/>
      <c r="N235" s="37" t="s">
        <v>640</v>
      </c>
      <c r="O235" s="37" t="s">
        <v>524</v>
      </c>
      <c r="P235" s="37" t="s">
        <v>31</v>
      </c>
      <c r="Q235" s="37"/>
      <c r="R235" s="37" t="s">
        <v>31</v>
      </c>
      <c r="S235" s="37"/>
      <c r="T235" s="37"/>
      <c r="U235" s="37"/>
      <c r="V235" s="37" t="s">
        <v>202</v>
      </c>
      <c r="W235" s="37" t="s">
        <v>203</v>
      </c>
      <c r="X235" s="37" t="s">
        <v>31</v>
      </c>
      <c r="Y235" s="37"/>
      <c r="Z235" s="37" t="s">
        <v>31</v>
      </c>
      <c r="AA235" s="37"/>
      <c r="AB235" s="37" t="s">
        <v>31</v>
      </c>
      <c r="AC235" s="37"/>
      <c r="AD235" s="37" t="s">
        <v>31</v>
      </c>
      <c r="AE235" s="37"/>
      <c r="AH235" s="17"/>
      <c r="AI235" s="17" t="b">
        <f t="shared" si="12"/>
        <v>1</v>
      </c>
      <c r="AJ235" s="17" t="b">
        <f t="shared" si="13"/>
        <v>1</v>
      </c>
      <c r="AK235" s="17" t="str">
        <f t="shared" si="14"/>
        <v>EM00001110</v>
      </c>
    </row>
    <row r="236" spans="1:37" ht="13.15" customHeight="1" x14ac:dyDescent="0.25">
      <c r="A236" s="75" t="str">
        <f>_xlfn.XLOOKUP(C236,[1]Sheet2!$D:$D,[1]Sheet2!$C:$C)</f>
        <v>EM00016046</v>
      </c>
      <c r="B236" s="37">
        <v>1315</v>
      </c>
      <c r="C236" s="37" t="s">
        <v>499</v>
      </c>
      <c r="D236" s="37">
        <v>1</v>
      </c>
      <c r="E236" s="47" t="s">
        <v>205</v>
      </c>
      <c r="F236" s="48">
        <v>46266</v>
      </c>
      <c r="G236" s="48">
        <v>46295</v>
      </c>
      <c r="H236" s="37" t="s">
        <v>629</v>
      </c>
      <c r="I236" s="37" t="s">
        <v>499</v>
      </c>
      <c r="J236" s="37" t="s">
        <v>31</v>
      </c>
      <c r="K236" s="37" t="s">
        <v>504</v>
      </c>
      <c r="L236" s="37"/>
      <c r="M236" s="37"/>
      <c r="N236" s="37" t="s">
        <v>640</v>
      </c>
      <c r="O236" s="37" t="s">
        <v>524</v>
      </c>
      <c r="P236" s="51" t="s">
        <v>31</v>
      </c>
      <c r="Q236" s="37"/>
      <c r="R236" s="37" t="s">
        <v>31</v>
      </c>
      <c r="S236" s="37"/>
      <c r="T236" s="37"/>
      <c r="U236" s="37"/>
      <c r="V236" s="37" t="s">
        <v>202</v>
      </c>
      <c r="W236" s="37" t="s">
        <v>203</v>
      </c>
      <c r="X236" s="37" t="s">
        <v>31</v>
      </c>
      <c r="Y236" s="37"/>
      <c r="Z236" s="37" t="s">
        <v>31</v>
      </c>
      <c r="AA236" s="37"/>
      <c r="AB236" s="37" t="s">
        <v>31</v>
      </c>
      <c r="AC236" s="37"/>
      <c r="AD236" s="37" t="s">
        <v>31</v>
      </c>
      <c r="AE236" s="37"/>
      <c r="AH236" s="17"/>
      <c r="AI236" s="17" t="b">
        <f t="shared" si="12"/>
        <v>1</v>
      </c>
      <c r="AJ236" s="17" t="b">
        <f t="shared" si="13"/>
        <v>1</v>
      </c>
      <c r="AK236" s="17" t="str">
        <f t="shared" si="14"/>
        <v>EM00000000</v>
      </c>
    </row>
    <row r="237" spans="1:37" ht="13.15" customHeight="1" x14ac:dyDescent="0.25">
      <c r="A237" s="75" t="str">
        <f>_xlfn.XLOOKUP(C237,[1]Sheet2!$D:$D,[1]Sheet2!$C:$C)</f>
        <v>EM00016279</v>
      </c>
      <c r="B237" s="37">
        <v>1315</v>
      </c>
      <c r="C237" s="37" t="s">
        <v>500</v>
      </c>
      <c r="D237" s="37">
        <v>1</v>
      </c>
      <c r="E237" s="47" t="s">
        <v>205</v>
      </c>
      <c r="F237" s="48">
        <v>46266</v>
      </c>
      <c r="G237" s="48">
        <v>46295</v>
      </c>
      <c r="H237" s="37" t="s">
        <v>630</v>
      </c>
      <c r="I237" s="37" t="s">
        <v>500</v>
      </c>
      <c r="J237" s="37" t="s">
        <v>31</v>
      </c>
      <c r="K237" s="37" t="s">
        <v>504</v>
      </c>
      <c r="L237" s="37"/>
      <c r="M237" s="37"/>
      <c r="N237" s="37" t="s">
        <v>640</v>
      </c>
      <c r="O237" s="37" t="s">
        <v>524</v>
      </c>
      <c r="P237" s="51" t="s">
        <v>31</v>
      </c>
      <c r="Q237" s="37"/>
      <c r="R237" s="37" t="s">
        <v>31</v>
      </c>
      <c r="S237" s="37"/>
      <c r="T237" s="37"/>
      <c r="U237" s="37"/>
      <c r="V237" s="37" t="s">
        <v>202</v>
      </c>
      <c r="W237" s="37" t="s">
        <v>203</v>
      </c>
      <c r="X237" s="37" t="s">
        <v>31</v>
      </c>
      <c r="Y237" s="37"/>
      <c r="Z237" s="37" t="s">
        <v>31</v>
      </c>
      <c r="AA237" s="37"/>
      <c r="AB237" s="37" t="s">
        <v>31</v>
      </c>
      <c r="AC237" s="37"/>
      <c r="AD237" s="37" t="s">
        <v>31</v>
      </c>
      <c r="AE237" s="37"/>
      <c r="AH237" s="17"/>
      <c r="AI237" s="17" t="b">
        <f t="shared" si="12"/>
        <v>1</v>
      </c>
      <c r="AJ237" s="17" t="b">
        <f t="shared" si="13"/>
        <v>1</v>
      </c>
      <c r="AK237" s="17" t="str">
        <f t="shared" si="14"/>
        <v>EM00000000</v>
      </c>
    </row>
    <row r="238" spans="1:37" ht="13.15" customHeight="1" x14ac:dyDescent="0.25">
      <c r="A238" s="75" t="str">
        <f>_xlfn.XLOOKUP(C238,[1]Sheet2!$D:$D,[1]Sheet2!$C:$C)</f>
        <v>EM00000000</v>
      </c>
      <c r="B238" s="37">
        <v>1315</v>
      </c>
      <c r="C238" s="37" t="s">
        <v>501</v>
      </c>
      <c r="D238" s="37">
        <v>1</v>
      </c>
      <c r="E238" s="47" t="s">
        <v>205</v>
      </c>
      <c r="F238" s="48">
        <v>46266</v>
      </c>
      <c r="G238" s="48">
        <v>46295</v>
      </c>
      <c r="H238" s="37" t="s">
        <v>31</v>
      </c>
      <c r="I238" s="37" t="s">
        <v>501</v>
      </c>
      <c r="J238" s="37" t="s">
        <v>31</v>
      </c>
      <c r="K238" s="37" t="s">
        <v>504</v>
      </c>
      <c r="L238" s="37"/>
      <c r="M238" s="37"/>
      <c r="N238" s="37" t="s">
        <v>640</v>
      </c>
      <c r="O238" s="37" t="s">
        <v>524</v>
      </c>
      <c r="P238" s="52" t="s">
        <v>31</v>
      </c>
      <c r="Q238" s="37"/>
      <c r="R238" s="37" t="s">
        <v>31</v>
      </c>
      <c r="S238" s="37"/>
      <c r="T238" s="37"/>
      <c r="U238" s="37"/>
      <c r="V238" s="37" t="s">
        <v>202</v>
      </c>
      <c r="W238" s="37" t="s">
        <v>203</v>
      </c>
      <c r="X238" s="37" t="s">
        <v>31</v>
      </c>
      <c r="Y238" s="37"/>
      <c r="Z238" s="37" t="s">
        <v>31</v>
      </c>
      <c r="AA238" s="37"/>
      <c r="AB238" s="37" t="s">
        <v>31</v>
      </c>
      <c r="AC238" s="37"/>
      <c r="AD238" s="37" t="s">
        <v>31</v>
      </c>
      <c r="AE238" s="37"/>
      <c r="AH238" s="17"/>
      <c r="AI238" s="17" t="b">
        <f t="shared" si="12"/>
        <v>1</v>
      </c>
      <c r="AJ238" s="17" t="b">
        <f t="shared" si="13"/>
        <v>1</v>
      </c>
      <c r="AK238" s="17" t="str">
        <f t="shared" si="14"/>
        <v>EM00000000</v>
      </c>
    </row>
    <row r="239" spans="1:37" ht="13.15" customHeight="1" x14ac:dyDescent="0.25">
      <c r="A239" s="75" t="str">
        <f>_xlfn.XLOOKUP(C239,[1]Sheet2!$D:$D,[1]Sheet2!$C:$C)</f>
        <v>EM00000000</v>
      </c>
      <c r="B239" s="37">
        <v>1315</v>
      </c>
      <c r="C239" s="37" t="s">
        <v>502</v>
      </c>
      <c r="D239" s="37">
        <v>1</v>
      </c>
      <c r="E239" s="47" t="s">
        <v>205</v>
      </c>
      <c r="F239" s="48">
        <v>46266</v>
      </c>
      <c r="G239" s="48">
        <v>46295</v>
      </c>
      <c r="H239" s="37" t="s">
        <v>31</v>
      </c>
      <c r="I239" s="37" t="s">
        <v>502</v>
      </c>
      <c r="J239" s="37" t="s">
        <v>31</v>
      </c>
      <c r="K239" s="37" t="s">
        <v>504</v>
      </c>
      <c r="L239" s="37"/>
      <c r="M239" s="37"/>
      <c r="N239" s="37" t="s">
        <v>640</v>
      </c>
      <c r="O239" s="37" t="s">
        <v>524</v>
      </c>
      <c r="P239" s="37" t="s">
        <v>31</v>
      </c>
      <c r="Q239" s="37"/>
      <c r="R239" s="37" t="s">
        <v>31</v>
      </c>
      <c r="S239" s="37"/>
      <c r="T239" s="37"/>
      <c r="U239" s="37"/>
      <c r="V239" s="37" t="s">
        <v>202</v>
      </c>
      <c r="W239" s="37" t="s">
        <v>203</v>
      </c>
      <c r="X239" s="37" t="s">
        <v>31</v>
      </c>
      <c r="Y239" s="37"/>
      <c r="Z239" s="37" t="s">
        <v>31</v>
      </c>
      <c r="AA239" s="37"/>
      <c r="AB239" s="37" t="s">
        <v>31</v>
      </c>
      <c r="AC239" s="37"/>
      <c r="AD239" s="37" t="s">
        <v>31</v>
      </c>
      <c r="AE239" s="37"/>
      <c r="AH239" s="17"/>
      <c r="AI239" s="17" t="b">
        <f t="shared" si="12"/>
        <v>1</v>
      </c>
      <c r="AJ239" s="17" t="b">
        <f t="shared" si="13"/>
        <v>1</v>
      </c>
      <c r="AK239" s="17" t="str">
        <f t="shared" si="14"/>
        <v>EM00000000</v>
      </c>
    </row>
    <row r="240" spans="1:37" ht="13.15" customHeight="1" x14ac:dyDescent="0.25">
      <c r="A240" s="75" t="str">
        <f>_xlfn.XLOOKUP(C240,[1]Sheet2!$D:$D,[1]Sheet2!$C:$C)</f>
        <v>EM00016259</v>
      </c>
      <c r="B240" s="37">
        <v>1315</v>
      </c>
      <c r="C240" s="37" t="s">
        <v>503</v>
      </c>
      <c r="D240" s="37">
        <v>1</v>
      </c>
      <c r="E240" s="47" t="s">
        <v>205</v>
      </c>
      <c r="F240" s="48">
        <v>46266</v>
      </c>
      <c r="G240" s="48">
        <v>46295</v>
      </c>
      <c r="H240" s="37" t="s">
        <v>631</v>
      </c>
      <c r="I240" s="37" t="s">
        <v>503</v>
      </c>
      <c r="J240" s="37" t="s">
        <v>31</v>
      </c>
      <c r="K240" s="37" t="s">
        <v>504</v>
      </c>
      <c r="L240" s="37"/>
      <c r="M240" s="37"/>
      <c r="N240" s="37" t="s">
        <v>640</v>
      </c>
      <c r="O240" s="37" t="s">
        <v>524</v>
      </c>
      <c r="P240" s="37" t="s">
        <v>31</v>
      </c>
      <c r="Q240" s="37"/>
      <c r="R240" s="37" t="s">
        <v>31</v>
      </c>
      <c r="S240" s="37"/>
      <c r="T240" s="37"/>
      <c r="U240" s="37"/>
      <c r="V240" s="37" t="s">
        <v>202</v>
      </c>
      <c r="W240" s="37" t="s">
        <v>203</v>
      </c>
      <c r="X240" s="37" t="s">
        <v>31</v>
      </c>
      <c r="Y240" s="37"/>
      <c r="Z240" s="37" t="s">
        <v>31</v>
      </c>
      <c r="AA240" s="37"/>
      <c r="AB240" s="37" t="s">
        <v>31</v>
      </c>
      <c r="AC240" s="37"/>
      <c r="AD240" s="37" t="s">
        <v>31</v>
      </c>
      <c r="AE240" s="37"/>
      <c r="AH240" s="17"/>
      <c r="AI240" s="17" t="b">
        <f t="shared" si="12"/>
        <v>1</v>
      </c>
      <c r="AJ240" s="17" t="b">
        <f t="shared" si="13"/>
        <v>1</v>
      </c>
      <c r="AK240" s="17" t="str">
        <f t="shared" si="14"/>
        <v>EM00000000</v>
      </c>
    </row>
    <row r="241" spans="1:37" ht="13.15" customHeight="1" x14ac:dyDescent="0.25">
      <c r="A241" s="75" t="str">
        <f>_xlfn.XLOOKUP(C241,[1]Sheet2!$D:$D,[1]Sheet2!$C:$C)</f>
        <v>EM00000000</v>
      </c>
      <c r="B241" s="37">
        <v>1315</v>
      </c>
      <c r="C241" s="37" t="s">
        <v>504</v>
      </c>
      <c r="D241" s="37">
        <v>2</v>
      </c>
      <c r="E241" s="47" t="s">
        <v>205</v>
      </c>
      <c r="F241" s="48">
        <v>46266</v>
      </c>
      <c r="G241" s="48">
        <v>46295</v>
      </c>
      <c r="H241" s="37"/>
      <c r="I241" s="37"/>
      <c r="J241" s="37" t="s">
        <v>31</v>
      </c>
      <c r="K241" s="37" t="s">
        <v>504</v>
      </c>
      <c r="L241" s="37"/>
      <c r="M241" s="37"/>
      <c r="N241" s="37" t="s">
        <v>640</v>
      </c>
      <c r="O241" s="37" t="s">
        <v>524</v>
      </c>
      <c r="P241" s="51" t="s">
        <v>31</v>
      </c>
      <c r="Q241" s="37"/>
      <c r="R241" s="37" t="s">
        <v>31</v>
      </c>
      <c r="S241" s="37"/>
      <c r="T241" s="37"/>
      <c r="U241" s="37"/>
      <c r="V241" s="37" t="s">
        <v>202</v>
      </c>
      <c r="W241" s="37" t="s">
        <v>203</v>
      </c>
      <c r="X241" s="37" t="s">
        <v>31</v>
      </c>
      <c r="Y241" s="37"/>
      <c r="Z241" s="37" t="s">
        <v>31</v>
      </c>
      <c r="AA241" s="37"/>
      <c r="AB241" s="37" t="s">
        <v>31</v>
      </c>
      <c r="AC241" s="37"/>
      <c r="AD241" s="37" t="s">
        <v>31</v>
      </c>
      <c r="AE241" s="37"/>
      <c r="AH241" s="17"/>
      <c r="AI241" s="17" t="b">
        <f t="shared" si="12"/>
        <v>1</v>
      </c>
      <c r="AJ241" s="17" t="b">
        <f t="shared" si="13"/>
        <v>1</v>
      </c>
      <c r="AK241" s="17" t="str">
        <f t="shared" si="14"/>
        <v>EM00001110</v>
      </c>
    </row>
    <row r="242" spans="1:37" ht="13.15" customHeight="1" x14ac:dyDescent="0.25">
      <c r="A242" s="75" t="str">
        <f>_xlfn.XLOOKUP(C242,[1]Sheet2!$D:$D,[1]Sheet2!$C:$C)</f>
        <v>EM00000000</v>
      </c>
      <c r="B242" s="37">
        <v>1328</v>
      </c>
      <c r="C242" s="37" t="s">
        <v>505</v>
      </c>
      <c r="D242" s="37">
        <v>1</v>
      </c>
      <c r="E242" s="47" t="s">
        <v>205</v>
      </c>
      <c r="F242" s="48">
        <v>46266</v>
      </c>
      <c r="G242" s="48">
        <v>46295</v>
      </c>
      <c r="H242" s="37" t="s">
        <v>31</v>
      </c>
      <c r="I242" s="37" t="s">
        <v>505</v>
      </c>
      <c r="J242" s="37" t="s">
        <v>31</v>
      </c>
      <c r="K242" s="37" t="s">
        <v>511</v>
      </c>
      <c r="L242" s="37"/>
      <c r="M242" s="37"/>
      <c r="N242" s="37" t="s">
        <v>640</v>
      </c>
      <c r="O242" s="37" t="s">
        <v>524</v>
      </c>
      <c r="P242" s="51" t="s">
        <v>31</v>
      </c>
      <c r="Q242" s="37"/>
      <c r="R242" s="37" t="s">
        <v>31</v>
      </c>
      <c r="S242" s="37"/>
      <c r="T242" s="37"/>
      <c r="U242" s="37"/>
      <c r="V242" s="37" t="s">
        <v>202</v>
      </c>
      <c r="W242" s="37" t="s">
        <v>203</v>
      </c>
      <c r="X242" s="37" t="s">
        <v>31</v>
      </c>
      <c r="Y242" s="37"/>
      <c r="Z242" s="37" t="s">
        <v>31</v>
      </c>
      <c r="AA242" s="37"/>
      <c r="AB242" s="37" t="s">
        <v>31</v>
      </c>
      <c r="AC242" s="37"/>
      <c r="AD242" s="37" t="s">
        <v>31</v>
      </c>
      <c r="AE242" s="37"/>
      <c r="AH242" s="17"/>
      <c r="AI242" s="17" t="b">
        <f t="shared" si="12"/>
        <v>1</v>
      </c>
      <c r="AJ242" s="17" t="b">
        <f t="shared" si="13"/>
        <v>1</v>
      </c>
      <c r="AK242" s="17" t="str">
        <f t="shared" si="14"/>
        <v>EM00000000</v>
      </c>
    </row>
    <row r="243" spans="1:37" ht="13.15" customHeight="1" x14ac:dyDescent="0.25">
      <c r="A243" s="75" t="str">
        <f>_xlfn.XLOOKUP(C243,[1]Sheet2!$D:$D,[1]Sheet2!$C:$C)</f>
        <v>EM00000000</v>
      </c>
      <c r="B243" s="37">
        <v>1328</v>
      </c>
      <c r="C243" s="37" t="s">
        <v>506</v>
      </c>
      <c r="D243" s="37">
        <v>1</v>
      </c>
      <c r="E243" s="47" t="s">
        <v>205</v>
      </c>
      <c r="F243" s="48">
        <v>46266</v>
      </c>
      <c r="G243" s="48">
        <v>46295</v>
      </c>
      <c r="H243" s="37" t="s">
        <v>31</v>
      </c>
      <c r="I243" s="37" t="s">
        <v>506</v>
      </c>
      <c r="J243" s="37" t="s">
        <v>31</v>
      </c>
      <c r="K243" s="37" t="s">
        <v>511</v>
      </c>
      <c r="L243" s="37"/>
      <c r="M243" s="37"/>
      <c r="N243" s="37" t="s">
        <v>640</v>
      </c>
      <c r="O243" s="37" t="s">
        <v>524</v>
      </c>
      <c r="P243" s="52" t="s">
        <v>31</v>
      </c>
      <c r="Q243" s="37"/>
      <c r="R243" s="37" t="s">
        <v>31</v>
      </c>
      <c r="S243" s="37"/>
      <c r="T243" s="37"/>
      <c r="U243" s="37"/>
      <c r="V243" s="37" t="s">
        <v>202</v>
      </c>
      <c r="W243" s="37" t="s">
        <v>203</v>
      </c>
      <c r="X243" s="37" t="s">
        <v>31</v>
      </c>
      <c r="Y243" s="37"/>
      <c r="Z243" s="37" t="s">
        <v>31</v>
      </c>
      <c r="AA243" s="37"/>
      <c r="AB243" s="37" t="s">
        <v>31</v>
      </c>
      <c r="AC243" s="37"/>
      <c r="AD243" s="37" t="s">
        <v>31</v>
      </c>
      <c r="AE243" s="37"/>
      <c r="AH243" s="17"/>
      <c r="AI243" s="17" t="b">
        <f t="shared" si="12"/>
        <v>1</v>
      </c>
      <c r="AJ243" s="17" t="b">
        <f t="shared" si="13"/>
        <v>1</v>
      </c>
      <c r="AK243" s="17" t="str">
        <f t="shared" si="14"/>
        <v>EM00000000</v>
      </c>
    </row>
    <row r="244" spans="1:37" ht="13.15" customHeight="1" x14ac:dyDescent="0.25">
      <c r="A244" s="75" t="str">
        <f>_xlfn.XLOOKUP(C244,[1]Sheet2!$D:$D,[1]Sheet2!$C:$C)</f>
        <v>EM00000000</v>
      </c>
      <c r="B244" s="37">
        <v>1328</v>
      </c>
      <c r="C244" s="37" t="s">
        <v>507</v>
      </c>
      <c r="D244" s="37">
        <v>1</v>
      </c>
      <c r="E244" s="47" t="s">
        <v>205</v>
      </c>
      <c r="F244" s="48">
        <v>46266</v>
      </c>
      <c r="G244" s="48">
        <v>46295</v>
      </c>
      <c r="H244" s="37" t="s">
        <v>31</v>
      </c>
      <c r="I244" s="37" t="s">
        <v>507</v>
      </c>
      <c r="J244" s="37" t="s">
        <v>31</v>
      </c>
      <c r="K244" s="37" t="s">
        <v>511</v>
      </c>
      <c r="L244" s="37"/>
      <c r="M244" s="37"/>
      <c r="N244" s="37" t="s">
        <v>640</v>
      </c>
      <c r="O244" s="37" t="s">
        <v>524</v>
      </c>
      <c r="P244" s="37" t="s">
        <v>31</v>
      </c>
      <c r="Q244" s="37"/>
      <c r="R244" s="37" t="s">
        <v>31</v>
      </c>
      <c r="S244" s="37"/>
      <c r="T244" s="37"/>
      <c r="U244" s="37"/>
      <c r="V244" s="37" t="s">
        <v>202</v>
      </c>
      <c r="W244" s="37" t="s">
        <v>203</v>
      </c>
      <c r="X244" s="37" t="s">
        <v>31</v>
      </c>
      <c r="Y244" s="37"/>
      <c r="Z244" s="37" t="s">
        <v>31</v>
      </c>
      <c r="AA244" s="37"/>
      <c r="AB244" s="37" t="s">
        <v>31</v>
      </c>
      <c r="AC244" s="37"/>
      <c r="AD244" s="37" t="s">
        <v>31</v>
      </c>
      <c r="AE244" s="37"/>
      <c r="AH244" s="17"/>
      <c r="AI244" s="17" t="b">
        <f t="shared" si="12"/>
        <v>1</v>
      </c>
      <c r="AJ244" s="17" t="b">
        <f t="shared" si="13"/>
        <v>1</v>
      </c>
      <c r="AK244" s="17" t="str">
        <f t="shared" si="14"/>
        <v>EM00000000</v>
      </c>
    </row>
    <row r="245" spans="1:37" ht="13.15" customHeight="1" x14ac:dyDescent="0.25">
      <c r="A245" s="75" t="str">
        <f>_xlfn.XLOOKUP(C245,[1]Sheet2!$D:$D,[1]Sheet2!$C:$C)</f>
        <v>EM00016486</v>
      </c>
      <c r="B245" s="37">
        <v>1328</v>
      </c>
      <c r="C245" s="37" t="s">
        <v>508</v>
      </c>
      <c r="D245" s="37">
        <v>1</v>
      </c>
      <c r="E245" s="47" t="s">
        <v>205</v>
      </c>
      <c r="F245" s="48">
        <v>46266</v>
      </c>
      <c r="G245" s="48">
        <v>46295</v>
      </c>
      <c r="H245" s="37" t="s">
        <v>942</v>
      </c>
      <c r="I245" s="37" t="s">
        <v>508</v>
      </c>
      <c r="J245" s="37" t="s">
        <v>31</v>
      </c>
      <c r="K245" s="37" t="s">
        <v>511</v>
      </c>
      <c r="L245" s="37"/>
      <c r="M245" s="37"/>
      <c r="N245" s="37" t="s">
        <v>640</v>
      </c>
      <c r="O245" s="37" t="s">
        <v>524</v>
      </c>
      <c r="P245" s="37" t="s">
        <v>31</v>
      </c>
      <c r="Q245" s="37"/>
      <c r="R245" s="37" t="s">
        <v>31</v>
      </c>
      <c r="S245" s="37"/>
      <c r="T245" s="37"/>
      <c r="U245" s="37"/>
      <c r="V245" s="37" t="s">
        <v>202</v>
      </c>
      <c r="W245" s="37" t="s">
        <v>203</v>
      </c>
      <c r="X245" s="37" t="s">
        <v>31</v>
      </c>
      <c r="Y245" s="37"/>
      <c r="Z245" s="37" t="s">
        <v>31</v>
      </c>
      <c r="AA245" s="37"/>
      <c r="AB245" s="37" t="s">
        <v>31</v>
      </c>
      <c r="AC245" s="37"/>
      <c r="AD245" s="37" t="s">
        <v>31</v>
      </c>
      <c r="AE245" s="37"/>
      <c r="AH245" s="17"/>
      <c r="AI245" s="17" t="b">
        <f t="shared" si="12"/>
        <v>1</v>
      </c>
      <c r="AJ245" s="17" t="b">
        <f t="shared" si="13"/>
        <v>1</v>
      </c>
      <c r="AK245" s="17" t="str">
        <f t="shared" si="14"/>
        <v>EM00000000</v>
      </c>
    </row>
    <row r="246" spans="1:37" ht="13.15" customHeight="1" x14ac:dyDescent="0.25">
      <c r="A246" s="75" t="str">
        <f>_xlfn.XLOOKUP(C246,[1]Sheet2!$D:$D,[1]Sheet2!$C:$C)</f>
        <v>EM00016278</v>
      </c>
      <c r="B246" s="37">
        <v>1328</v>
      </c>
      <c r="C246" s="37" t="s">
        <v>509</v>
      </c>
      <c r="D246" s="37">
        <v>1</v>
      </c>
      <c r="E246" s="47" t="s">
        <v>205</v>
      </c>
      <c r="F246" s="48">
        <v>46266</v>
      </c>
      <c r="G246" s="48">
        <v>46295</v>
      </c>
      <c r="H246" s="37" t="s">
        <v>632</v>
      </c>
      <c r="I246" s="37" t="s">
        <v>509</v>
      </c>
      <c r="J246" s="37" t="s">
        <v>31</v>
      </c>
      <c r="K246" s="37" t="s">
        <v>511</v>
      </c>
      <c r="L246" s="37"/>
      <c r="M246" s="37"/>
      <c r="N246" s="37" t="s">
        <v>640</v>
      </c>
      <c r="O246" s="37" t="s">
        <v>524</v>
      </c>
      <c r="P246" s="51" t="s">
        <v>31</v>
      </c>
      <c r="Q246" s="37"/>
      <c r="R246" s="37" t="s">
        <v>31</v>
      </c>
      <c r="S246" s="37"/>
      <c r="T246" s="37"/>
      <c r="U246" s="37"/>
      <c r="V246" s="37" t="s">
        <v>202</v>
      </c>
      <c r="W246" s="37" t="s">
        <v>203</v>
      </c>
      <c r="X246" s="37" t="s">
        <v>31</v>
      </c>
      <c r="Y246" s="37"/>
      <c r="Z246" s="37" t="s">
        <v>31</v>
      </c>
      <c r="AA246" s="37"/>
      <c r="AB246" s="37" t="s">
        <v>31</v>
      </c>
      <c r="AC246" s="37"/>
      <c r="AD246" s="37" t="s">
        <v>31</v>
      </c>
      <c r="AE246" s="37"/>
      <c r="AH246" s="17"/>
      <c r="AI246" s="17" t="b">
        <f t="shared" si="12"/>
        <v>1</v>
      </c>
      <c r="AJ246" s="17" t="b">
        <f t="shared" si="13"/>
        <v>1</v>
      </c>
      <c r="AK246" s="17" t="str">
        <f t="shared" si="14"/>
        <v>EM00000000</v>
      </c>
    </row>
    <row r="247" spans="1:37" ht="13.15" customHeight="1" x14ac:dyDescent="0.25">
      <c r="A247" s="75" t="str">
        <f>_xlfn.XLOOKUP(C247,[1]Sheet2!$D:$D,[1]Sheet2!$C:$C)</f>
        <v>EM00016404</v>
      </c>
      <c r="B247" s="37">
        <v>1328</v>
      </c>
      <c r="C247" s="37" t="s">
        <v>510</v>
      </c>
      <c r="D247" s="37">
        <v>1</v>
      </c>
      <c r="E247" s="47" t="s">
        <v>205</v>
      </c>
      <c r="F247" s="48">
        <v>46266</v>
      </c>
      <c r="G247" s="48">
        <v>46295</v>
      </c>
      <c r="H247" s="37" t="s">
        <v>633</v>
      </c>
      <c r="I247" s="37" t="s">
        <v>510</v>
      </c>
      <c r="J247" s="37" t="s">
        <v>31</v>
      </c>
      <c r="K247" s="37" t="s">
        <v>511</v>
      </c>
      <c r="L247" s="37"/>
      <c r="M247" s="37"/>
      <c r="N247" s="37" t="s">
        <v>640</v>
      </c>
      <c r="O247" s="37" t="s">
        <v>524</v>
      </c>
      <c r="P247" s="51" t="s">
        <v>31</v>
      </c>
      <c r="Q247" s="37"/>
      <c r="R247" s="37" t="s">
        <v>31</v>
      </c>
      <c r="S247" s="37"/>
      <c r="T247" s="37"/>
      <c r="U247" s="37"/>
      <c r="V247" s="37" t="s">
        <v>202</v>
      </c>
      <c r="W247" s="37" t="s">
        <v>203</v>
      </c>
      <c r="X247" s="37" t="s">
        <v>31</v>
      </c>
      <c r="Y247" s="37"/>
      <c r="Z247" s="37" t="s">
        <v>31</v>
      </c>
      <c r="AA247" s="37"/>
      <c r="AB247" s="37" t="s">
        <v>31</v>
      </c>
      <c r="AC247" s="37"/>
      <c r="AD247" s="37" t="s">
        <v>31</v>
      </c>
      <c r="AE247" s="37"/>
      <c r="AH247" s="17"/>
      <c r="AI247" s="17" t="b">
        <f t="shared" si="12"/>
        <v>1</v>
      </c>
      <c r="AJ247" s="17" t="b">
        <f t="shared" si="13"/>
        <v>1</v>
      </c>
      <c r="AK247" s="17" t="str">
        <f t="shared" si="14"/>
        <v>EM00000000</v>
      </c>
    </row>
    <row r="248" spans="1:37" ht="13.15" customHeight="1" x14ac:dyDescent="0.25">
      <c r="A248" s="75" t="str">
        <f>_xlfn.XLOOKUP(C248,[1]Sheet2!$D:$D,[1]Sheet2!$C:$C)</f>
        <v>EM00000000</v>
      </c>
      <c r="B248" s="37">
        <v>1328</v>
      </c>
      <c r="C248" s="37" t="s">
        <v>511</v>
      </c>
      <c r="D248" s="37">
        <v>2</v>
      </c>
      <c r="E248" s="47" t="s">
        <v>205</v>
      </c>
      <c r="F248" s="48">
        <v>46266</v>
      </c>
      <c r="G248" s="48">
        <v>46295</v>
      </c>
      <c r="H248" s="37"/>
      <c r="I248" s="37"/>
      <c r="J248" s="37" t="s">
        <v>31</v>
      </c>
      <c r="K248" s="37" t="s">
        <v>511</v>
      </c>
      <c r="L248" s="37"/>
      <c r="M248" s="37"/>
      <c r="N248" s="37" t="s">
        <v>640</v>
      </c>
      <c r="O248" s="37" t="s">
        <v>524</v>
      </c>
      <c r="P248" s="52" t="s">
        <v>31</v>
      </c>
      <c r="Q248" s="37"/>
      <c r="R248" s="37" t="s">
        <v>31</v>
      </c>
      <c r="S248" s="37"/>
      <c r="T248" s="37"/>
      <c r="U248" s="37"/>
      <c r="V248" s="37" t="s">
        <v>202</v>
      </c>
      <c r="W248" s="37" t="s">
        <v>203</v>
      </c>
      <c r="X248" s="37" t="s">
        <v>31</v>
      </c>
      <c r="Y248" s="37"/>
      <c r="Z248" s="37" t="s">
        <v>31</v>
      </c>
      <c r="AA248" s="37"/>
      <c r="AB248" s="37" t="s">
        <v>31</v>
      </c>
      <c r="AC248" s="37"/>
      <c r="AD248" s="37" t="s">
        <v>31</v>
      </c>
      <c r="AE248" s="37"/>
      <c r="AH248" s="17"/>
      <c r="AI248" s="17" t="b">
        <f t="shared" si="12"/>
        <v>1</v>
      </c>
      <c r="AJ248" s="17" t="b">
        <f t="shared" si="13"/>
        <v>1</v>
      </c>
      <c r="AK248" s="17" t="str">
        <f t="shared" si="14"/>
        <v>EM00001110</v>
      </c>
    </row>
    <row r="249" spans="1:37" ht="13.15" customHeight="1" x14ac:dyDescent="0.25">
      <c r="A249" s="75" t="str">
        <f>_xlfn.XLOOKUP(C249,[1]Sheet2!$D:$D,[1]Sheet2!$C:$C)</f>
        <v>EM00016271</v>
      </c>
      <c r="B249" s="37">
        <v>1319</v>
      </c>
      <c r="C249" s="37" t="s">
        <v>512</v>
      </c>
      <c r="D249" s="37">
        <v>1</v>
      </c>
      <c r="E249" s="47" t="s">
        <v>205</v>
      </c>
      <c r="F249" s="48">
        <v>46266</v>
      </c>
      <c r="G249" s="48">
        <v>46295</v>
      </c>
      <c r="H249" s="37" t="s">
        <v>634</v>
      </c>
      <c r="I249" s="37" t="s">
        <v>512</v>
      </c>
      <c r="J249" s="37" t="s">
        <v>31</v>
      </c>
      <c r="K249" s="37" t="s">
        <v>517</v>
      </c>
      <c r="L249" s="37"/>
      <c r="M249" s="37"/>
      <c r="N249" s="37" t="s">
        <v>640</v>
      </c>
      <c r="O249" s="37" t="s">
        <v>524</v>
      </c>
      <c r="P249" s="37" t="s">
        <v>31</v>
      </c>
      <c r="Q249" s="37"/>
      <c r="R249" s="37" t="s">
        <v>31</v>
      </c>
      <c r="S249" s="37"/>
      <c r="T249" s="37"/>
      <c r="U249" s="37"/>
      <c r="V249" s="37" t="s">
        <v>202</v>
      </c>
      <c r="W249" s="37" t="s">
        <v>203</v>
      </c>
      <c r="X249" s="37" t="s">
        <v>31</v>
      </c>
      <c r="Y249" s="37"/>
      <c r="Z249" s="37" t="s">
        <v>31</v>
      </c>
      <c r="AA249" s="37"/>
      <c r="AB249" s="37" t="s">
        <v>31</v>
      </c>
      <c r="AC249" s="37"/>
      <c r="AD249" s="37" t="s">
        <v>31</v>
      </c>
      <c r="AE249" s="37"/>
      <c r="AH249" s="17"/>
      <c r="AI249" s="17" t="b">
        <f t="shared" si="12"/>
        <v>1</v>
      </c>
      <c r="AJ249" s="17" t="b">
        <f t="shared" si="13"/>
        <v>1</v>
      </c>
      <c r="AK249" s="17" t="str">
        <f t="shared" si="14"/>
        <v>EM00000000</v>
      </c>
    </row>
    <row r="250" spans="1:37" ht="13.15" customHeight="1" x14ac:dyDescent="0.25">
      <c r="A250" s="75" t="str">
        <f>_xlfn.XLOOKUP(C250,[1]Sheet2!$D:$D,[1]Sheet2!$C:$C)</f>
        <v>EM00016266</v>
      </c>
      <c r="B250" s="37">
        <v>1319</v>
      </c>
      <c r="C250" s="37" t="s">
        <v>513</v>
      </c>
      <c r="D250" s="37">
        <v>1</v>
      </c>
      <c r="E250" s="47" t="s">
        <v>205</v>
      </c>
      <c r="F250" s="48">
        <v>46266</v>
      </c>
      <c r="G250" s="48">
        <v>46295</v>
      </c>
      <c r="H250" s="37" t="s">
        <v>635</v>
      </c>
      <c r="I250" s="37" t="s">
        <v>513</v>
      </c>
      <c r="J250" s="37" t="s">
        <v>31</v>
      </c>
      <c r="K250" s="37" t="s">
        <v>517</v>
      </c>
      <c r="L250" s="37"/>
      <c r="M250" s="37"/>
      <c r="N250" s="37" t="s">
        <v>640</v>
      </c>
      <c r="O250" s="37" t="s">
        <v>524</v>
      </c>
      <c r="P250" s="37" t="s">
        <v>31</v>
      </c>
      <c r="Q250" s="37"/>
      <c r="R250" s="37" t="s">
        <v>31</v>
      </c>
      <c r="S250" s="37"/>
      <c r="T250" s="37"/>
      <c r="U250" s="37"/>
      <c r="V250" s="37" t="s">
        <v>202</v>
      </c>
      <c r="W250" s="37" t="s">
        <v>203</v>
      </c>
      <c r="X250" s="37" t="s">
        <v>31</v>
      </c>
      <c r="Y250" s="37"/>
      <c r="Z250" s="37" t="s">
        <v>31</v>
      </c>
      <c r="AA250" s="37"/>
      <c r="AB250" s="37" t="s">
        <v>31</v>
      </c>
      <c r="AC250" s="37"/>
      <c r="AD250" s="37" t="s">
        <v>31</v>
      </c>
      <c r="AE250" s="37"/>
      <c r="AH250" s="17"/>
      <c r="AI250" s="17" t="b">
        <f t="shared" si="12"/>
        <v>1</v>
      </c>
      <c r="AJ250" s="17" t="b">
        <f t="shared" si="13"/>
        <v>1</v>
      </c>
      <c r="AK250" s="17" t="str">
        <f t="shared" si="14"/>
        <v>EM00000000</v>
      </c>
    </row>
    <row r="251" spans="1:37" ht="13.15" customHeight="1" x14ac:dyDescent="0.25">
      <c r="A251" s="75" t="str">
        <f>_xlfn.XLOOKUP(C251,[1]Sheet2!$D:$D,[1]Sheet2!$C:$C)</f>
        <v>EM00016288</v>
      </c>
      <c r="B251" s="37">
        <v>1319</v>
      </c>
      <c r="C251" s="37" t="s">
        <v>514</v>
      </c>
      <c r="D251" s="37">
        <v>1</v>
      </c>
      <c r="E251" s="47" t="s">
        <v>205</v>
      </c>
      <c r="F251" s="48">
        <v>46266</v>
      </c>
      <c r="G251" s="48">
        <v>46295</v>
      </c>
      <c r="H251" s="37" t="s">
        <v>636</v>
      </c>
      <c r="I251" s="37" t="s">
        <v>514</v>
      </c>
      <c r="J251" s="37" t="s">
        <v>31</v>
      </c>
      <c r="K251" s="37" t="s">
        <v>517</v>
      </c>
      <c r="L251" s="37"/>
      <c r="M251" s="37"/>
      <c r="N251" s="37" t="s">
        <v>640</v>
      </c>
      <c r="O251" s="37" t="s">
        <v>524</v>
      </c>
      <c r="P251" s="51" t="s">
        <v>31</v>
      </c>
      <c r="Q251" s="37"/>
      <c r="R251" s="37" t="s">
        <v>31</v>
      </c>
      <c r="S251" s="37"/>
      <c r="T251" s="37"/>
      <c r="U251" s="37"/>
      <c r="V251" s="37" t="s">
        <v>202</v>
      </c>
      <c r="W251" s="37" t="s">
        <v>203</v>
      </c>
      <c r="X251" s="37" t="s">
        <v>31</v>
      </c>
      <c r="Y251" s="37"/>
      <c r="Z251" s="37" t="s">
        <v>31</v>
      </c>
      <c r="AA251" s="37"/>
      <c r="AB251" s="37" t="s">
        <v>31</v>
      </c>
      <c r="AC251" s="37"/>
      <c r="AD251" s="37" t="s">
        <v>31</v>
      </c>
      <c r="AE251" s="37"/>
      <c r="AH251" s="17"/>
      <c r="AI251" s="17" t="b">
        <f t="shared" si="12"/>
        <v>1</v>
      </c>
      <c r="AJ251" s="17" t="b">
        <f t="shared" si="13"/>
        <v>1</v>
      </c>
      <c r="AK251" s="17" t="str">
        <f t="shared" si="14"/>
        <v>EM00000000</v>
      </c>
    </row>
    <row r="252" spans="1:37" ht="13.15" customHeight="1" x14ac:dyDescent="0.25">
      <c r="A252" s="75" t="str">
        <f>_xlfn.XLOOKUP(C252,[1]Sheet2!$D:$D,[1]Sheet2!$C:$C)</f>
        <v>EM00000000</v>
      </c>
      <c r="B252" s="37">
        <v>1319</v>
      </c>
      <c r="C252" s="37" t="s">
        <v>515</v>
      </c>
      <c r="D252" s="37">
        <v>1</v>
      </c>
      <c r="E252" s="47" t="s">
        <v>205</v>
      </c>
      <c r="F252" s="48">
        <v>46266</v>
      </c>
      <c r="G252" s="48">
        <v>46295</v>
      </c>
      <c r="H252" s="37" t="s">
        <v>31</v>
      </c>
      <c r="I252" s="37" t="s">
        <v>515</v>
      </c>
      <c r="J252" s="37" t="s">
        <v>31</v>
      </c>
      <c r="K252" s="37" t="s">
        <v>517</v>
      </c>
      <c r="L252" s="37"/>
      <c r="M252" s="37"/>
      <c r="N252" s="37" t="s">
        <v>640</v>
      </c>
      <c r="O252" s="37" t="s">
        <v>524</v>
      </c>
      <c r="P252" s="51" t="s">
        <v>31</v>
      </c>
      <c r="Q252" s="37"/>
      <c r="R252" s="37" t="s">
        <v>31</v>
      </c>
      <c r="S252" s="37"/>
      <c r="T252" s="37"/>
      <c r="U252" s="37"/>
      <c r="V252" s="37" t="s">
        <v>202</v>
      </c>
      <c r="W252" s="37" t="s">
        <v>203</v>
      </c>
      <c r="X252" s="37" t="s">
        <v>31</v>
      </c>
      <c r="Y252" s="37"/>
      <c r="Z252" s="37" t="s">
        <v>31</v>
      </c>
      <c r="AA252" s="37"/>
      <c r="AB252" s="37" t="s">
        <v>31</v>
      </c>
      <c r="AC252" s="37"/>
      <c r="AD252" s="37" t="s">
        <v>31</v>
      </c>
      <c r="AE252" s="37"/>
      <c r="AH252" s="17"/>
      <c r="AI252" s="17" t="b">
        <f t="shared" si="12"/>
        <v>1</v>
      </c>
      <c r="AJ252" s="17" t="b">
        <f t="shared" si="13"/>
        <v>1</v>
      </c>
      <c r="AK252" s="17" t="str">
        <f t="shared" si="14"/>
        <v>EM00000000</v>
      </c>
    </row>
    <row r="253" spans="1:37" ht="13.15" customHeight="1" x14ac:dyDescent="0.25">
      <c r="A253" s="75" t="str">
        <f>_xlfn.XLOOKUP(C253,[1]Sheet2!$D:$D,[1]Sheet2!$C:$C)</f>
        <v>EM00016373</v>
      </c>
      <c r="B253" s="37">
        <v>1319</v>
      </c>
      <c r="C253" s="37" t="s">
        <v>516</v>
      </c>
      <c r="D253" s="37">
        <v>1</v>
      </c>
      <c r="E253" s="47" t="s">
        <v>205</v>
      </c>
      <c r="F253" s="48">
        <v>46266</v>
      </c>
      <c r="G253" s="48">
        <v>46295</v>
      </c>
      <c r="H253" s="37" t="s">
        <v>637</v>
      </c>
      <c r="I253" s="37" t="s">
        <v>516</v>
      </c>
      <c r="J253" s="37" t="s">
        <v>31</v>
      </c>
      <c r="K253" s="37" t="s">
        <v>517</v>
      </c>
      <c r="L253" s="37"/>
      <c r="M253" s="37"/>
      <c r="N253" s="37" t="s">
        <v>640</v>
      </c>
      <c r="O253" s="37" t="s">
        <v>524</v>
      </c>
      <c r="P253" s="52" t="s">
        <v>31</v>
      </c>
      <c r="Q253" s="37"/>
      <c r="R253" s="37" t="s">
        <v>31</v>
      </c>
      <c r="S253" s="37"/>
      <c r="T253" s="37"/>
      <c r="U253" s="37"/>
      <c r="V253" s="37" t="s">
        <v>202</v>
      </c>
      <c r="W253" s="37" t="s">
        <v>203</v>
      </c>
      <c r="X253" s="37" t="s">
        <v>31</v>
      </c>
      <c r="Y253" s="37"/>
      <c r="Z253" s="37" t="s">
        <v>31</v>
      </c>
      <c r="AA253" s="37"/>
      <c r="AB253" s="37" t="s">
        <v>31</v>
      </c>
      <c r="AC253" s="37"/>
      <c r="AD253" s="37" t="s">
        <v>31</v>
      </c>
      <c r="AE253" s="37"/>
      <c r="AH253" s="17"/>
      <c r="AI253" s="17" t="b">
        <f t="shared" si="12"/>
        <v>1</v>
      </c>
      <c r="AJ253" s="17" t="b">
        <f t="shared" si="13"/>
        <v>1</v>
      </c>
      <c r="AK253" s="17" t="str">
        <f t="shared" si="14"/>
        <v>EM00000000</v>
      </c>
    </row>
    <row r="254" spans="1:37" ht="13.15" customHeight="1" x14ac:dyDescent="0.25">
      <c r="A254" s="75" t="str">
        <f>_xlfn.XLOOKUP(C254,[1]Sheet2!$D:$D,[1]Sheet2!$C:$C)</f>
        <v>EM00000000</v>
      </c>
      <c r="B254" s="37">
        <v>1319</v>
      </c>
      <c r="C254" s="37" t="s">
        <v>517</v>
      </c>
      <c r="D254" s="37">
        <v>2</v>
      </c>
      <c r="E254" s="47" t="s">
        <v>205</v>
      </c>
      <c r="F254" s="48">
        <v>46266</v>
      </c>
      <c r="G254" s="48">
        <v>46295</v>
      </c>
      <c r="H254" s="37"/>
      <c r="I254" s="37"/>
      <c r="J254" s="37" t="s">
        <v>31</v>
      </c>
      <c r="K254" s="37" t="s">
        <v>517</v>
      </c>
      <c r="L254" s="37"/>
      <c r="M254" s="37"/>
      <c r="N254" s="37" t="s">
        <v>640</v>
      </c>
      <c r="O254" s="37" t="s">
        <v>524</v>
      </c>
      <c r="P254" s="37" t="s">
        <v>31</v>
      </c>
      <c r="Q254" s="37"/>
      <c r="R254" s="37" t="s">
        <v>31</v>
      </c>
      <c r="S254" s="37"/>
      <c r="T254" s="37"/>
      <c r="U254" s="37"/>
      <c r="V254" s="37" t="s">
        <v>202</v>
      </c>
      <c r="W254" s="37" t="s">
        <v>203</v>
      </c>
      <c r="X254" s="37" t="s">
        <v>31</v>
      </c>
      <c r="Y254" s="37"/>
      <c r="Z254" s="37" t="s">
        <v>31</v>
      </c>
      <c r="AA254" s="37"/>
      <c r="AB254" s="37" t="s">
        <v>31</v>
      </c>
      <c r="AC254" s="37"/>
      <c r="AD254" s="37" t="s">
        <v>31</v>
      </c>
      <c r="AE254" s="37"/>
      <c r="AH254" s="17"/>
      <c r="AI254" s="17" t="b">
        <f t="shared" si="12"/>
        <v>1</v>
      </c>
      <c r="AJ254" s="17" t="b">
        <f t="shared" si="13"/>
        <v>1</v>
      </c>
      <c r="AK254" s="17" t="str">
        <f t="shared" si="14"/>
        <v>EM00001110</v>
      </c>
    </row>
    <row r="255" spans="1:37" ht="13.15" customHeight="1" x14ac:dyDescent="0.25">
      <c r="A255" s="75" t="str">
        <f>_xlfn.XLOOKUP(C255,[1]Sheet2!$D:$D,[1]Sheet2!$C:$C)</f>
        <v>EM00015764</v>
      </c>
      <c r="B255" s="37">
        <v>1318</v>
      </c>
      <c r="C255" s="37" t="s">
        <v>518</v>
      </c>
      <c r="D255" s="37">
        <v>1</v>
      </c>
      <c r="E255" s="47" t="s">
        <v>205</v>
      </c>
      <c r="F255" s="48">
        <v>46266</v>
      </c>
      <c r="G255" s="48">
        <v>46295</v>
      </c>
      <c r="H255" s="37" t="s">
        <v>638</v>
      </c>
      <c r="I255" s="37" t="s">
        <v>518</v>
      </c>
      <c r="J255" s="37" t="s">
        <v>31</v>
      </c>
      <c r="K255" s="37" t="s">
        <v>523</v>
      </c>
      <c r="L255" s="37"/>
      <c r="M255" s="37"/>
      <c r="N255" s="37" t="s">
        <v>640</v>
      </c>
      <c r="O255" s="37" t="s">
        <v>524</v>
      </c>
      <c r="P255" s="37" t="s">
        <v>31</v>
      </c>
      <c r="Q255" s="37"/>
      <c r="R255" s="37" t="s">
        <v>31</v>
      </c>
      <c r="S255" s="37"/>
      <c r="T255" s="37"/>
      <c r="U255" s="37"/>
      <c r="V255" s="37" t="s">
        <v>202</v>
      </c>
      <c r="W255" s="37" t="s">
        <v>203</v>
      </c>
      <c r="X255" s="37" t="s">
        <v>31</v>
      </c>
      <c r="Y255" s="37"/>
      <c r="Z255" s="37" t="s">
        <v>31</v>
      </c>
      <c r="AA255" s="37"/>
      <c r="AB255" s="37" t="s">
        <v>31</v>
      </c>
      <c r="AC255" s="37"/>
      <c r="AD255" s="37" t="s">
        <v>31</v>
      </c>
      <c r="AE255" s="37"/>
      <c r="AH255" s="17"/>
      <c r="AI255" s="17" t="b">
        <f t="shared" si="12"/>
        <v>1</v>
      </c>
      <c r="AJ255" s="17" t="b">
        <f t="shared" si="13"/>
        <v>1</v>
      </c>
      <c r="AK255" s="17" t="str">
        <f t="shared" si="14"/>
        <v>EM00000000</v>
      </c>
    </row>
    <row r="256" spans="1:37" ht="13.15" customHeight="1" x14ac:dyDescent="0.25">
      <c r="A256" s="75" t="str">
        <f>_xlfn.XLOOKUP(C256,[1]Sheet2!$D:$D,[1]Sheet2!$C:$C)</f>
        <v>EM00016008</v>
      </c>
      <c r="B256" s="37">
        <v>1318</v>
      </c>
      <c r="C256" s="37" t="s">
        <v>519</v>
      </c>
      <c r="D256" s="37">
        <v>1</v>
      </c>
      <c r="E256" s="47" t="s">
        <v>205</v>
      </c>
      <c r="F256" s="48">
        <v>46266</v>
      </c>
      <c r="G256" s="48">
        <v>46295</v>
      </c>
      <c r="H256" s="37" t="s">
        <v>639</v>
      </c>
      <c r="I256" s="37" t="s">
        <v>519</v>
      </c>
      <c r="J256" s="37" t="s">
        <v>31</v>
      </c>
      <c r="K256" s="37" t="s">
        <v>523</v>
      </c>
      <c r="L256" s="37"/>
      <c r="M256" s="37"/>
      <c r="N256" s="37" t="s">
        <v>640</v>
      </c>
      <c r="O256" s="37" t="s">
        <v>524</v>
      </c>
      <c r="P256" s="51" t="s">
        <v>31</v>
      </c>
      <c r="Q256" s="37"/>
      <c r="R256" s="37" t="s">
        <v>31</v>
      </c>
      <c r="S256" s="37"/>
      <c r="T256" s="37"/>
      <c r="U256" s="37"/>
      <c r="V256" s="37" t="s">
        <v>202</v>
      </c>
      <c r="W256" s="37" t="s">
        <v>203</v>
      </c>
      <c r="X256" s="37" t="s">
        <v>31</v>
      </c>
      <c r="Y256" s="37"/>
      <c r="Z256" s="37" t="s">
        <v>31</v>
      </c>
      <c r="AA256" s="37"/>
      <c r="AB256" s="37" t="s">
        <v>31</v>
      </c>
      <c r="AC256" s="37"/>
      <c r="AD256" s="37" t="s">
        <v>31</v>
      </c>
      <c r="AE256" s="37"/>
      <c r="AH256" s="17"/>
      <c r="AI256" s="17" t="b">
        <f t="shared" si="12"/>
        <v>1</v>
      </c>
      <c r="AJ256" s="17" t="b">
        <f t="shared" si="13"/>
        <v>1</v>
      </c>
      <c r="AK256" s="17" t="str">
        <f t="shared" si="14"/>
        <v>EM00000000</v>
      </c>
    </row>
    <row r="257" spans="1:37" ht="13.15" customHeight="1" x14ac:dyDescent="0.25">
      <c r="A257" s="75" t="str">
        <f>_xlfn.XLOOKUP(C257,[1]Sheet2!$D:$D,[1]Sheet2!$C:$C)</f>
        <v>EM00016470</v>
      </c>
      <c r="B257" s="37">
        <v>1318</v>
      </c>
      <c r="C257" s="37" t="s">
        <v>520</v>
      </c>
      <c r="D257" s="37">
        <v>1</v>
      </c>
      <c r="E257" s="47" t="s">
        <v>205</v>
      </c>
      <c r="F257" s="48">
        <v>46266</v>
      </c>
      <c r="G257" s="48">
        <v>46295</v>
      </c>
      <c r="H257" s="37" t="s">
        <v>717</v>
      </c>
      <c r="I257" s="37" t="s">
        <v>520</v>
      </c>
      <c r="J257" s="37" t="s">
        <v>31</v>
      </c>
      <c r="K257" s="37" t="s">
        <v>523</v>
      </c>
      <c r="L257" s="37"/>
      <c r="M257" s="37"/>
      <c r="N257" s="37" t="s">
        <v>640</v>
      </c>
      <c r="O257" s="37" t="s">
        <v>524</v>
      </c>
      <c r="P257" s="51" t="s">
        <v>31</v>
      </c>
      <c r="Q257" s="37"/>
      <c r="R257" s="37" t="s">
        <v>31</v>
      </c>
      <c r="S257" s="37"/>
      <c r="T257" s="37"/>
      <c r="U257" s="37"/>
      <c r="V257" s="37" t="s">
        <v>202</v>
      </c>
      <c r="W257" s="37" t="s">
        <v>203</v>
      </c>
      <c r="X257" s="37" t="s">
        <v>31</v>
      </c>
      <c r="Y257" s="37"/>
      <c r="Z257" s="37" t="s">
        <v>31</v>
      </c>
      <c r="AA257" s="37"/>
      <c r="AB257" s="37" t="s">
        <v>31</v>
      </c>
      <c r="AC257" s="37"/>
      <c r="AD257" s="37" t="s">
        <v>31</v>
      </c>
      <c r="AE257" s="37"/>
      <c r="AH257" s="17"/>
      <c r="AI257" s="17" t="b">
        <f t="shared" si="12"/>
        <v>1</v>
      </c>
      <c r="AJ257" s="17" t="b">
        <f t="shared" si="13"/>
        <v>1</v>
      </c>
      <c r="AK257" s="17" t="str">
        <f t="shared" si="14"/>
        <v>EM00000000</v>
      </c>
    </row>
    <row r="258" spans="1:37" ht="13.15" customHeight="1" x14ac:dyDescent="0.25">
      <c r="A258" s="75" t="str">
        <f>_xlfn.XLOOKUP(C258,[1]Sheet2!$D:$D,[1]Sheet2!$C:$C)</f>
        <v>EM00000000</v>
      </c>
      <c r="B258" s="37">
        <v>1318</v>
      </c>
      <c r="C258" s="37" t="s">
        <v>521</v>
      </c>
      <c r="D258" s="37">
        <v>1</v>
      </c>
      <c r="E258" s="47" t="s">
        <v>205</v>
      </c>
      <c r="F258" s="48">
        <v>46266</v>
      </c>
      <c r="G258" s="48">
        <v>46295</v>
      </c>
      <c r="H258" s="37" t="s">
        <v>31</v>
      </c>
      <c r="I258" s="37" t="s">
        <v>521</v>
      </c>
      <c r="J258" s="37" t="s">
        <v>31</v>
      </c>
      <c r="K258" s="37" t="s">
        <v>523</v>
      </c>
      <c r="L258" s="37"/>
      <c r="M258" s="37"/>
      <c r="N258" s="37" t="s">
        <v>640</v>
      </c>
      <c r="O258" s="37" t="s">
        <v>524</v>
      </c>
      <c r="P258" s="52" t="s">
        <v>31</v>
      </c>
      <c r="Q258" s="37"/>
      <c r="R258" s="37" t="s">
        <v>31</v>
      </c>
      <c r="S258" s="37"/>
      <c r="T258" s="37"/>
      <c r="U258" s="37"/>
      <c r="V258" s="37" t="s">
        <v>202</v>
      </c>
      <c r="W258" s="37" t="s">
        <v>203</v>
      </c>
      <c r="X258" s="37" t="s">
        <v>31</v>
      </c>
      <c r="Y258" s="37"/>
      <c r="Z258" s="37" t="s">
        <v>31</v>
      </c>
      <c r="AA258" s="37"/>
      <c r="AB258" s="37" t="s">
        <v>31</v>
      </c>
      <c r="AC258" s="37"/>
      <c r="AD258" s="37" t="s">
        <v>31</v>
      </c>
      <c r="AE258" s="37"/>
      <c r="AH258" s="17"/>
      <c r="AI258" s="17" t="b">
        <f t="shared" si="12"/>
        <v>1</v>
      </c>
      <c r="AJ258" s="17" t="b">
        <f t="shared" si="13"/>
        <v>1</v>
      </c>
      <c r="AK258" s="17" t="str">
        <f t="shared" si="14"/>
        <v>EM00000000</v>
      </c>
    </row>
    <row r="259" spans="1:37" ht="13.15" customHeight="1" x14ac:dyDescent="0.25">
      <c r="A259" s="75" t="str">
        <f>_xlfn.XLOOKUP(C259,[1]Sheet2!$D:$D,[1]Sheet2!$C:$C)</f>
        <v>EM00000000</v>
      </c>
      <c r="B259" s="37">
        <v>1318</v>
      </c>
      <c r="C259" s="37" t="s">
        <v>522</v>
      </c>
      <c r="D259" s="37">
        <v>1</v>
      </c>
      <c r="E259" s="47" t="s">
        <v>205</v>
      </c>
      <c r="F259" s="48">
        <v>46266</v>
      </c>
      <c r="G259" s="48">
        <v>46295</v>
      </c>
      <c r="H259" s="37" t="s">
        <v>31</v>
      </c>
      <c r="I259" s="37" t="s">
        <v>522</v>
      </c>
      <c r="J259" s="37" t="s">
        <v>31</v>
      </c>
      <c r="K259" s="37" t="s">
        <v>523</v>
      </c>
      <c r="L259" s="37"/>
      <c r="M259" s="37"/>
      <c r="N259" s="37" t="s">
        <v>640</v>
      </c>
      <c r="O259" s="37" t="s">
        <v>524</v>
      </c>
      <c r="P259" s="37" t="s">
        <v>31</v>
      </c>
      <c r="Q259" s="37"/>
      <c r="R259" s="37" t="s">
        <v>31</v>
      </c>
      <c r="S259" s="37"/>
      <c r="T259" s="37"/>
      <c r="U259" s="37"/>
      <c r="V259" s="37" t="s">
        <v>202</v>
      </c>
      <c r="W259" s="37" t="s">
        <v>203</v>
      </c>
      <c r="X259" s="37" t="s">
        <v>31</v>
      </c>
      <c r="Y259" s="37"/>
      <c r="Z259" s="37" t="s">
        <v>31</v>
      </c>
      <c r="AA259" s="37"/>
      <c r="AB259" s="37" t="s">
        <v>31</v>
      </c>
      <c r="AC259" s="37"/>
      <c r="AD259" s="37" t="s">
        <v>31</v>
      </c>
      <c r="AE259" s="37"/>
      <c r="AH259" s="17"/>
      <c r="AI259" s="17" t="b">
        <f t="shared" ref="AI259:AI322" si="15">IF(D259=1,A259=H259,IF(D259=2,A259=J259,IF(D259=4,A259=N259,IF(D259=6,A259=R259,IF(D259=7,A259=T259,IF(D259=8,A259=V259,IF(D259=9,A259=X259,IF(D259=10,A259=Z259,IF(D259=11,A259=AB259,IF(D259=12,A259=AD259,IF(D259=13,A259=AF259)))))))))))</f>
        <v>1</v>
      </c>
      <c r="AJ259" s="17" t="b">
        <f t="shared" ref="AJ259:AJ322" si="16">IF(D259=1,C259=I259,IF(D259=2,C259=K259,IF(D259=4,C259=O259,IF(D259=6,C259=S259,IF(D259=7,C259=U259,IF(D259=8,C259=W259,IF(D259=9,C259=Y259,IF(D259=10,C259=AA259,IF(D259=11,C259=AC259,IF(D259=12,C259=AE259,IF(D259=13,C259=AG259)))))))))))</f>
        <v>1</v>
      </c>
      <c r="AK259" s="17" t="str">
        <f t="shared" ref="AK259:AK322" si="17">IF(D259=1,J259,IF(D259=2,N259,IF(D259=4,R259,IF(D259=6,T259,IF(D259=7,V259,IF(D259=8,X259,IF(D259=9,Z259)))))))</f>
        <v>EM00000000</v>
      </c>
    </row>
    <row r="260" spans="1:37" ht="13.15" customHeight="1" x14ac:dyDescent="0.25">
      <c r="A260" s="75" t="str">
        <f>_xlfn.XLOOKUP(C260,[1]Sheet2!$D:$D,[1]Sheet2!$C:$C)</f>
        <v>EM00016508</v>
      </c>
      <c r="B260" s="37">
        <v>1318</v>
      </c>
      <c r="C260" s="37" t="s">
        <v>523</v>
      </c>
      <c r="D260" s="37">
        <v>2</v>
      </c>
      <c r="E260" s="47" t="s">
        <v>205</v>
      </c>
      <c r="F260" s="48">
        <v>46266</v>
      </c>
      <c r="G260" s="48">
        <v>46295</v>
      </c>
      <c r="H260" s="37"/>
      <c r="I260" s="37"/>
      <c r="J260" s="37" t="s">
        <v>939</v>
      </c>
      <c r="K260" s="37" t="s">
        <v>523</v>
      </c>
      <c r="L260" s="37"/>
      <c r="M260" s="37"/>
      <c r="N260" s="37" t="s">
        <v>640</v>
      </c>
      <c r="O260" s="37" t="s">
        <v>524</v>
      </c>
      <c r="P260" s="37" t="s">
        <v>31</v>
      </c>
      <c r="Q260" s="37"/>
      <c r="R260" s="37" t="s">
        <v>31</v>
      </c>
      <c r="S260" s="37"/>
      <c r="T260" s="37"/>
      <c r="U260" s="37"/>
      <c r="V260" s="37" t="s">
        <v>202</v>
      </c>
      <c r="W260" s="37" t="s">
        <v>203</v>
      </c>
      <c r="X260" s="37" t="s">
        <v>31</v>
      </c>
      <c r="Y260" s="37"/>
      <c r="Z260" s="37" t="s">
        <v>31</v>
      </c>
      <c r="AA260" s="37"/>
      <c r="AB260" s="37" t="s">
        <v>31</v>
      </c>
      <c r="AC260" s="37"/>
      <c r="AD260" s="37" t="s">
        <v>31</v>
      </c>
      <c r="AE260" s="37"/>
      <c r="AH260" s="17"/>
      <c r="AI260" s="17" t="b">
        <f t="shared" si="15"/>
        <v>1</v>
      </c>
      <c r="AJ260" s="17" t="b">
        <f t="shared" si="16"/>
        <v>1</v>
      </c>
      <c r="AK260" s="17" t="str">
        <f t="shared" si="17"/>
        <v>EM00001110</v>
      </c>
    </row>
    <row r="261" spans="1:37" ht="13.15" customHeight="1" x14ac:dyDescent="0.25">
      <c r="A261" s="75" t="str">
        <f>_xlfn.XLOOKUP(C261,[1]Sheet2!$D:$D,[1]Sheet2!$C:$C)</f>
        <v>EM00016490</v>
      </c>
      <c r="B261" s="37">
        <v>1318</v>
      </c>
      <c r="C261" s="37" t="s">
        <v>718</v>
      </c>
      <c r="D261" s="37">
        <v>1</v>
      </c>
      <c r="E261" s="47" t="s">
        <v>205</v>
      </c>
      <c r="F261" s="48">
        <v>46266</v>
      </c>
      <c r="G261" s="48">
        <v>46295</v>
      </c>
      <c r="H261" s="37" t="s">
        <v>723</v>
      </c>
      <c r="I261" s="37" t="s">
        <v>718</v>
      </c>
      <c r="J261" s="37" t="s">
        <v>31</v>
      </c>
      <c r="K261" s="37" t="s">
        <v>925</v>
      </c>
      <c r="L261" s="37"/>
      <c r="M261" s="37"/>
      <c r="N261" s="37" t="s">
        <v>640</v>
      </c>
      <c r="O261" s="37" t="s">
        <v>524</v>
      </c>
      <c r="P261" s="51" t="s">
        <v>31</v>
      </c>
      <c r="Q261" s="37"/>
      <c r="R261" s="37" t="s">
        <v>31</v>
      </c>
      <c r="S261" s="37"/>
      <c r="T261" s="37"/>
      <c r="U261" s="37"/>
      <c r="V261" s="37" t="s">
        <v>202</v>
      </c>
      <c r="W261" s="37" t="s">
        <v>203</v>
      </c>
      <c r="X261" s="37" t="s">
        <v>31</v>
      </c>
      <c r="Y261" s="37"/>
      <c r="Z261" s="37" t="s">
        <v>31</v>
      </c>
      <c r="AA261" s="37"/>
      <c r="AB261" s="37" t="s">
        <v>31</v>
      </c>
      <c r="AC261" s="37"/>
      <c r="AD261" s="37" t="s">
        <v>31</v>
      </c>
      <c r="AE261" s="37"/>
      <c r="AH261" s="17"/>
      <c r="AI261" s="17" t="b">
        <f t="shared" si="15"/>
        <v>1</v>
      </c>
      <c r="AJ261" s="17" t="b">
        <f t="shared" si="16"/>
        <v>1</v>
      </c>
      <c r="AK261" s="17" t="str">
        <f t="shared" si="17"/>
        <v>EM00000000</v>
      </c>
    </row>
    <row r="262" spans="1:37" ht="13.15" customHeight="1" x14ac:dyDescent="0.25">
      <c r="A262" s="75" t="str">
        <f>_xlfn.XLOOKUP(C262,[1]Sheet2!$D:$D,[1]Sheet2!$C:$C)</f>
        <v>EM00000000</v>
      </c>
      <c r="B262" s="37">
        <v>1318</v>
      </c>
      <c r="C262" s="37" t="s">
        <v>719</v>
      </c>
      <c r="D262" s="37">
        <v>1</v>
      </c>
      <c r="E262" s="47" t="s">
        <v>205</v>
      </c>
      <c r="F262" s="48">
        <v>46266</v>
      </c>
      <c r="G262" s="48">
        <v>46295</v>
      </c>
      <c r="H262" s="37" t="s">
        <v>31</v>
      </c>
      <c r="I262" s="37" t="s">
        <v>719</v>
      </c>
      <c r="J262" s="37" t="s">
        <v>31</v>
      </c>
      <c r="K262" s="37" t="s">
        <v>925</v>
      </c>
      <c r="L262" s="37"/>
      <c r="M262" s="37"/>
      <c r="N262" s="37" t="s">
        <v>640</v>
      </c>
      <c r="O262" s="37" t="s">
        <v>524</v>
      </c>
      <c r="P262" s="51" t="s">
        <v>31</v>
      </c>
      <c r="Q262" s="37"/>
      <c r="R262" s="37" t="s">
        <v>31</v>
      </c>
      <c r="S262" s="37"/>
      <c r="T262" s="37"/>
      <c r="U262" s="37"/>
      <c r="V262" s="37" t="s">
        <v>202</v>
      </c>
      <c r="W262" s="37" t="s">
        <v>203</v>
      </c>
      <c r="X262" s="37" t="s">
        <v>31</v>
      </c>
      <c r="Y262" s="37"/>
      <c r="Z262" s="37" t="s">
        <v>31</v>
      </c>
      <c r="AA262" s="37"/>
      <c r="AB262" s="37" t="s">
        <v>31</v>
      </c>
      <c r="AC262" s="37"/>
      <c r="AD262" s="37" t="s">
        <v>31</v>
      </c>
      <c r="AE262" s="37"/>
      <c r="AH262" s="17"/>
      <c r="AI262" s="17" t="b">
        <f t="shared" si="15"/>
        <v>1</v>
      </c>
      <c r="AJ262" s="17" t="b">
        <f t="shared" si="16"/>
        <v>1</v>
      </c>
      <c r="AK262" s="17" t="str">
        <f t="shared" si="17"/>
        <v>EM00000000</v>
      </c>
    </row>
    <row r="263" spans="1:37" ht="13.15" customHeight="1" x14ac:dyDescent="0.25">
      <c r="A263" s="75" t="str">
        <f>_xlfn.XLOOKUP(C263,[1]Sheet2!$D:$D,[1]Sheet2!$C:$C)</f>
        <v>EM00000000</v>
      </c>
      <c r="B263" s="37">
        <v>1318</v>
      </c>
      <c r="C263" s="37" t="s">
        <v>720</v>
      </c>
      <c r="D263" s="37">
        <v>1</v>
      </c>
      <c r="E263" s="47" t="s">
        <v>205</v>
      </c>
      <c r="F263" s="48">
        <v>46266</v>
      </c>
      <c r="G263" s="48">
        <v>46295</v>
      </c>
      <c r="H263" s="37" t="s">
        <v>31</v>
      </c>
      <c r="I263" s="37" t="s">
        <v>720</v>
      </c>
      <c r="J263" s="37" t="s">
        <v>31</v>
      </c>
      <c r="K263" s="37" t="s">
        <v>925</v>
      </c>
      <c r="L263" s="37"/>
      <c r="M263" s="37"/>
      <c r="N263" s="37" t="s">
        <v>640</v>
      </c>
      <c r="O263" s="37" t="s">
        <v>524</v>
      </c>
      <c r="P263" s="52" t="s">
        <v>31</v>
      </c>
      <c r="Q263" s="37"/>
      <c r="R263" s="37" t="s">
        <v>31</v>
      </c>
      <c r="S263" s="37"/>
      <c r="T263" s="37"/>
      <c r="U263" s="37"/>
      <c r="V263" s="37" t="s">
        <v>202</v>
      </c>
      <c r="W263" s="37" t="s">
        <v>203</v>
      </c>
      <c r="X263" s="37" t="s">
        <v>31</v>
      </c>
      <c r="Y263" s="37"/>
      <c r="Z263" s="37" t="s">
        <v>31</v>
      </c>
      <c r="AA263" s="37"/>
      <c r="AB263" s="37" t="s">
        <v>31</v>
      </c>
      <c r="AC263" s="37"/>
      <c r="AD263" s="37" t="s">
        <v>31</v>
      </c>
      <c r="AE263" s="37"/>
      <c r="AH263" s="17"/>
      <c r="AI263" s="17" t="b">
        <f t="shared" si="15"/>
        <v>1</v>
      </c>
      <c r="AJ263" s="17" t="b">
        <f t="shared" si="16"/>
        <v>1</v>
      </c>
      <c r="AK263" s="17" t="str">
        <f t="shared" si="17"/>
        <v>EM00000000</v>
      </c>
    </row>
    <row r="264" spans="1:37" ht="13.15" customHeight="1" x14ac:dyDescent="0.25">
      <c r="A264" s="75" t="str">
        <f>_xlfn.XLOOKUP(C264,[1]Sheet2!$D:$D,[1]Sheet2!$C:$C)</f>
        <v>EM00000000</v>
      </c>
      <c r="B264" s="37">
        <v>1318</v>
      </c>
      <c r="C264" s="37" t="s">
        <v>721</v>
      </c>
      <c r="D264" s="37">
        <v>1</v>
      </c>
      <c r="E264" s="47" t="s">
        <v>205</v>
      </c>
      <c r="F264" s="48">
        <v>46266</v>
      </c>
      <c r="G264" s="48">
        <v>46295</v>
      </c>
      <c r="H264" s="37" t="s">
        <v>31</v>
      </c>
      <c r="I264" s="37" t="s">
        <v>721</v>
      </c>
      <c r="J264" s="37" t="s">
        <v>31</v>
      </c>
      <c r="K264" s="37" t="s">
        <v>925</v>
      </c>
      <c r="L264" s="37"/>
      <c r="M264" s="37"/>
      <c r="N264" s="37" t="s">
        <v>640</v>
      </c>
      <c r="O264" s="37" t="s">
        <v>524</v>
      </c>
      <c r="P264" s="37" t="s">
        <v>31</v>
      </c>
      <c r="Q264" s="37"/>
      <c r="R264" s="37" t="s">
        <v>31</v>
      </c>
      <c r="S264" s="37"/>
      <c r="T264" s="37"/>
      <c r="U264" s="37"/>
      <c r="V264" s="37" t="s">
        <v>202</v>
      </c>
      <c r="W264" s="37" t="s">
        <v>203</v>
      </c>
      <c r="X264" s="37" t="s">
        <v>31</v>
      </c>
      <c r="Y264" s="37"/>
      <c r="Z264" s="37" t="s">
        <v>31</v>
      </c>
      <c r="AA264" s="37"/>
      <c r="AB264" s="37" t="s">
        <v>31</v>
      </c>
      <c r="AC264" s="37"/>
      <c r="AD264" s="37" t="s">
        <v>31</v>
      </c>
      <c r="AE264" s="37"/>
      <c r="AH264" s="17"/>
      <c r="AI264" s="17" t="b">
        <f t="shared" si="15"/>
        <v>1</v>
      </c>
      <c r="AJ264" s="17" t="b">
        <f t="shared" si="16"/>
        <v>1</v>
      </c>
      <c r="AK264" s="17" t="str">
        <f t="shared" si="17"/>
        <v>EM00000000</v>
      </c>
    </row>
    <row r="265" spans="1:37" ht="13.15" customHeight="1" x14ac:dyDescent="0.25">
      <c r="A265" s="75" t="str">
        <f>_xlfn.XLOOKUP(C265,[1]Sheet2!$D:$D,[1]Sheet2!$C:$C)</f>
        <v>EM00000000</v>
      </c>
      <c r="B265" s="37">
        <v>1318</v>
      </c>
      <c r="C265" s="37" t="s">
        <v>722</v>
      </c>
      <c r="D265" s="37">
        <v>1</v>
      </c>
      <c r="E265" s="47" t="s">
        <v>205</v>
      </c>
      <c r="F265" s="48">
        <v>46266</v>
      </c>
      <c r="G265" s="48">
        <v>46295</v>
      </c>
      <c r="H265" s="37" t="s">
        <v>31</v>
      </c>
      <c r="I265" s="37" t="s">
        <v>722</v>
      </c>
      <c r="J265" s="37" t="s">
        <v>31</v>
      </c>
      <c r="K265" s="37" t="s">
        <v>925</v>
      </c>
      <c r="L265" s="37"/>
      <c r="M265" s="37"/>
      <c r="N265" s="37" t="s">
        <v>640</v>
      </c>
      <c r="O265" s="37" t="s">
        <v>524</v>
      </c>
      <c r="P265" s="37" t="s">
        <v>31</v>
      </c>
      <c r="Q265" s="37"/>
      <c r="R265" s="37" t="s">
        <v>31</v>
      </c>
      <c r="S265" s="37"/>
      <c r="T265" s="37"/>
      <c r="U265" s="37"/>
      <c r="V265" s="37" t="s">
        <v>202</v>
      </c>
      <c r="W265" s="37" t="s">
        <v>203</v>
      </c>
      <c r="X265" s="37" t="s">
        <v>31</v>
      </c>
      <c r="Y265" s="37"/>
      <c r="Z265" s="37" t="s">
        <v>31</v>
      </c>
      <c r="AA265" s="37"/>
      <c r="AB265" s="37" t="s">
        <v>31</v>
      </c>
      <c r="AC265" s="37"/>
      <c r="AD265" s="37" t="s">
        <v>31</v>
      </c>
      <c r="AE265" s="37"/>
      <c r="AH265" s="17"/>
      <c r="AI265" s="17" t="b">
        <f t="shared" si="15"/>
        <v>1</v>
      </c>
      <c r="AJ265" s="17" t="b">
        <f t="shared" si="16"/>
        <v>1</v>
      </c>
      <c r="AK265" s="17" t="str">
        <f t="shared" si="17"/>
        <v>EM00000000</v>
      </c>
    </row>
    <row r="266" spans="1:37" ht="13.15" customHeight="1" x14ac:dyDescent="0.25">
      <c r="A266" s="75" t="str">
        <f>_xlfn.XLOOKUP(C266,[1]Sheet2!$D:$D,[1]Sheet2!$C:$C)</f>
        <v>EM00000000</v>
      </c>
      <c r="B266" s="37">
        <v>1318</v>
      </c>
      <c r="C266" s="37" t="s">
        <v>925</v>
      </c>
      <c r="D266" s="37">
        <v>2</v>
      </c>
      <c r="E266" s="47" t="s">
        <v>205</v>
      </c>
      <c r="F266" s="48">
        <v>46266</v>
      </c>
      <c r="G266" s="48">
        <v>46295</v>
      </c>
      <c r="H266" s="37"/>
      <c r="I266" s="37"/>
      <c r="J266" s="37" t="s">
        <v>31</v>
      </c>
      <c r="K266" s="37" t="s">
        <v>925</v>
      </c>
      <c r="L266" s="37"/>
      <c r="M266" s="37"/>
      <c r="N266" s="37" t="s">
        <v>640</v>
      </c>
      <c r="O266" s="37" t="s">
        <v>524</v>
      </c>
      <c r="P266" s="51" t="s">
        <v>31</v>
      </c>
      <c r="Q266" s="37"/>
      <c r="R266" s="37" t="s">
        <v>31</v>
      </c>
      <c r="S266" s="37"/>
      <c r="T266" s="37"/>
      <c r="U266" s="37"/>
      <c r="V266" s="37" t="s">
        <v>202</v>
      </c>
      <c r="W266" s="37" t="s">
        <v>203</v>
      </c>
      <c r="X266" s="37" t="s">
        <v>31</v>
      </c>
      <c r="Y266" s="37"/>
      <c r="Z266" s="37" t="s">
        <v>31</v>
      </c>
      <c r="AA266" s="37"/>
      <c r="AB266" s="37" t="s">
        <v>31</v>
      </c>
      <c r="AC266" s="37"/>
      <c r="AD266" s="37" t="s">
        <v>31</v>
      </c>
      <c r="AE266" s="37"/>
      <c r="AH266" s="17"/>
      <c r="AI266" s="17" t="b">
        <f t="shared" si="15"/>
        <v>1</v>
      </c>
      <c r="AJ266" s="17" t="b">
        <f t="shared" si="16"/>
        <v>1</v>
      </c>
      <c r="AK266" s="17" t="str">
        <f t="shared" si="17"/>
        <v>EM00001110</v>
      </c>
    </row>
    <row r="267" spans="1:37" ht="13.15" customHeight="1" x14ac:dyDescent="0.25">
      <c r="A267" s="75" t="s">
        <v>31</v>
      </c>
      <c r="B267" s="37">
        <v>1315</v>
      </c>
      <c r="C267" s="37" t="s">
        <v>678</v>
      </c>
      <c r="D267" s="37">
        <v>1</v>
      </c>
      <c r="E267" s="47" t="s">
        <v>205</v>
      </c>
      <c r="F267" s="48">
        <v>46266</v>
      </c>
      <c r="G267" s="48">
        <v>46295</v>
      </c>
      <c r="H267" s="37" t="s">
        <v>31</v>
      </c>
      <c r="I267" s="37" t="s">
        <v>678</v>
      </c>
      <c r="J267" s="37" t="s">
        <v>31</v>
      </c>
      <c r="K267" s="37" t="s">
        <v>691</v>
      </c>
      <c r="L267" s="37"/>
      <c r="M267" s="37"/>
      <c r="N267" s="37" t="s">
        <v>640</v>
      </c>
      <c r="O267" s="37" t="s">
        <v>524</v>
      </c>
      <c r="P267" s="51" t="s">
        <v>31</v>
      </c>
      <c r="Q267" s="37"/>
      <c r="R267" s="37" t="s">
        <v>31</v>
      </c>
      <c r="S267" s="37"/>
      <c r="T267" s="37"/>
      <c r="U267" s="37"/>
      <c r="V267" s="37" t="s">
        <v>202</v>
      </c>
      <c r="W267" s="37" t="s">
        <v>203</v>
      </c>
      <c r="X267" s="37" t="s">
        <v>31</v>
      </c>
      <c r="Y267" s="37"/>
      <c r="Z267" s="37" t="s">
        <v>31</v>
      </c>
      <c r="AA267" s="37"/>
      <c r="AB267" s="37" t="s">
        <v>31</v>
      </c>
      <c r="AC267" s="37"/>
      <c r="AD267" s="37" t="s">
        <v>31</v>
      </c>
      <c r="AE267" s="37"/>
      <c r="AH267" s="17"/>
      <c r="AI267" s="17" t="b">
        <f t="shared" si="15"/>
        <v>1</v>
      </c>
      <c r="AJ267" s="17" t="b">
        <f t="shared" si="16"/>
        <v>1</v>
      </c>
      <c r="AK267" s="17" t="str">
        <f t="shared" si="17"/>
        <v>EM00000000</v>
      </c>
    </row>
    <row r="268" spans="1:37" ht="13.15" customHeight="1" x14ac:dyDescent="0.25">
      <c r="A268" s="37" t="s">
        <v>640</v>
      </c>
      <c r="B268" s="37">
        <v>1315</v>
      </c>
      <c r="C268" s="37" t="s">
        <v>679</v>
      </c>
      <c r="D268" s="37">
        <v>2</v>
      </c>
      <c r="E268" s="47" t="s">
        <v>205</v>
      </c>
      <c r="F268" s="48">
        <v>46266</v>
      </c>
      <c r="G268" s="48">
        <v>46295</v>
      </c>
      <c r="H268" s="37"/>
      <c r="I268" s="37"/>
      <c r="J268" s="37"/>
      <c r="K268" s="37"/>
      <c r="L268" s="37"/>
      <c r="M268" s="37"/>
      <c r="N268" s="37" t="s">
        <v>640</v>
      </c>
      <c r="O268" s="37" t="s">
        <v>524</v>
      </c>
      <c r="P268" s="52" t="s">
        <v>31</v>
      </c>
      <c r="Q268" s="37"/>
      <c r="R268" s="37" t="s">
        <v>31</v>
      </c>
      <c r="S268" s="37"/>
      <c r="T268" s="37"/>
      <c r="U268" s="37"/>
      <c r="V268" s="37" t="s">
        <v>202</v>
      </c>
      <c r="W268" s="37" t="s">
        <v>203</v>
      </c>
      <c r="X268" s="37" t="s">
        <v>31</v>
      </c>
      <c r="Y268" s="37"/>
      <c r="Z268" s="37" t="s">
        <v>31</v>
      </c>
      <c r="AA268" s="37"/>
      <c r="AB268" s="37" t="s">
        <v>31</v>
      </c>
      <c r="AC268" s="37"/>
      <c r="AD268" s="37" t="s">
        <v>31</v>
      </c>
      <c r="AE268" s="37"/>
      <c r="AH268" s="17"/>
      <c r="AI268" s="17" t="b">
        <f t="shared" si="15"/>
        <v>0</v>
      </c>
      <c r="AJ268" s="17" t="b">
        <f t="shared" si="16"/>
        <v>0</v>
      </c>
      <c r="AK268" s="17" t="str">
        <f t="shared" si="17"/>
        <v>EM00001110</v>
      </c>
    </row>
    <row r="269" spans="1:37" ht="13.15" customHeight="1" x14ac:dyDescent="0.25">
      <c r="A269" s="37" t="s">
        <v>640</v>
      </c>
      <c r="B269" s="37">
        <v>1315</v>
      </c>
      <c r="C269" s="37" t="s">
        <v>524</v>
      </c>
      <c r="D269" s="37">
        <v>4</v>
      </c>
      <c r="E269" s="47" t="s">
        <v>205</v>
      </c>
      <c r="F269" s="48">
        <v>46266</v>
      </c>
      <c r="G269" s="48">
        <v>46295</v>
      </c>
      <c r="H269" s="37"/>
      <c r="I269" s="37"/>
      <c r="J269" s="37"/>
      <c r="K269" s="37"/>
      <c r="L269" s="37"/>
      <c r="M269" s="37"/>
      <c r="N269" s="37" t="s">
        <v>640</v>
      </c>
      <c r="O269" s="37" t="s">
        <v>524</v>
      </c>
      <c r="P269" s="37" t="s">
        <v>31</v>
      </c>
      <c r="Q269" s="37"/>
      <c r="R269" s="37" t="s">
        <v>31</v>
      </c>
      <c r="S269" s="37"/>
      <c r="T269" s="37"/>
      <c r="U269" s="37"/>
      <c r="V269" s="37" t="s">
        <v>202</v>
      </c>
      <c r="W269" s="37" t="s">
        <v>203</v>
      </c>
      <c r="X269" s="37" t="s">
        <v>31</v>
      </c>
      <c r="Y269" s="37"/>
      <c r="Z269" s="37" t="s">
        <v>31</v>
      </c>
      <c r="AA269" s="37"/>
      <c r="AB269" s="37" t="s">
        <v>31</v>
      </c>
      <c r="AC269" s="37"/>
      <c r="AD269" s="37" t="s">
        <v>31</v>
      </c>
      <c r="AE269" s="37"/>
      <c r="AH269" s="17"/>
      <c r="AI269" s="17" t="b">
        <f t="shared" si="15"/>
        <v>1</v>
      </c>
      <c r="AJ269" s="17" t="b">
        <f t="shared" si="16"/>
        <v>1</v>
      </c>
      <c r="AK269" s="17" t="str">
        <f t="shared" si="17"/>
        <v>EM00000000</v>
      </c>
    </row>
    <row r="270" spans="1:37" ht="13.15" customHeight="1" x14ac:dyDescent="0.25">
      <c r="A270" s="37" t="s">
        <v>640</v>
      </c>
      <c r="B270" s="37">
        <v>1328</v>
      </c>
      <c r="C270" s="37" t="s">
        <v>524</v>
      </c>
      <c r="D270" s="37">
        <v>4</v>
      </c>
      <c r="E270" s="47" t="s">
        <v>205</v>
      </c>
      <c r="F270" s="48">
        <v>46266</v>
      </c>
      <c r="G270" s="48">
        <v>46295</v>
      </c>
      <c r="H270" s="37"/>
      <c r="I270" s="37"/>
      <c r="J270" s="37"/>
      <c r="K270" s="37"/>
      <c r="L270" s="37"/>
      <c r="M270" s="37"/>
      <c r="N270" s="37" t="s">
        <v>640</v>
      </c>
      <c r="O270" s="37" t="s">
        <v>524</v>
      </c>
      <c r="P270" s="37" t="s">
        <v>31</v>
      </c>
      <c r="Q270" s="37"/>
      <c r="R270" s="37" t="s">
        <v>31</v>
      </c>
      <c r="S270" s="37"/>
      <c r="T270" s="37"/>
      <c r="U270" s="37"/>
      <c r="V270" s="37" t="s">
        <v>202</v>
      </c>
      <c r="W270" s="37" t="s">
        <v>203</v>
      </c>
      <c r="X270" s="37" t="s">
        <v>31</v>
      </c>
      <c r="Y270" s="37"/>
      <c r="Z270" s="37" t="s">
        <v>31</v>
      </c>
      <c r="AA270" s="37"/>
      <c r="AB270" s="37" t="s">
        <v>31</v>
      </c>
      <c r="AC270" s="37"/>
      <c r="AD270" s="37" t="s">
        <v>31</v>
      </c>
      <c r="AE270" s="37"/>
      <c r="AH270" s="17"/>
      <c r="AI270" s="17" t="b">
        <f t="shared" si="15"/>
        <v>1</v>
      </c>
      <c r="AJ270" s="17" t="b">
        <f t="shared" si="16"/>
        <v>1</v>
      </c>
      <c r="AK270" s="17" t="str">
        <f t="shared" si="17"/>
        <v>EM00000000</v>
      </c>
    </row>
    <row r="271" spans="1:37" ht="13.15" customHeight="1" x14ac:dyDescent="0.25">
      <c r="A271" s="37" t="s">
        <v>640</v>
      </c>
      <c r="B271" s="37">
        <v>1319</v>
      </c>
      <c r="C271" s="37" t="s">
        <v>524</v>
      </c>
      <c r="D271" s="37">
        <v>4</v>
      </c>
      <c r="E271" s="47" t="s">
        <v>205</v>
      </c>
      <c r="F271" s="48">
        <v>46266</v>
      </c>
      <c r="G271" s="48">
        <v>46295</v>
      </c>
      <c r="H271" s="37"/>
      <c r="I271" s="37"/>
      <c r="J271" s="37"/>
      <c r="K271" s="37"/>
      <c r="L271" s="37"/>
      <c r="M271" s="37"/>
      <c r="N271" s="37" t="s">
        <v>640</v>
      </c>
      <c r="O271" s="37" t="s">
        <v>524</v>
      </c>
      <c r="P271" s="51" t="s">
        <v>31</v>
      </c>
      <c r="Q271" s="37"/>
      <c r="R271" s="37" t="s">
        <v>31</v>
      </c>
      <c r="S271" s="37"/>
      <c r="T271" s="37"/>
      <c r="U271" s="37"/>
      <c r="V271" s="37" t="s">
        <v>202</v>
      </c>
      <c r="W271" s="37" t="s">
        <v>203</v>
      </c>
      <c r="X271" s="37" t="s">
        <v>31</v>
      </c>
      <c r="Y271" s="37"/>
      <c r="Z271" s="37" t="s">
        <v>31</v>
      </c>
      <c r="AA271" s="37"/>
      <c r="AB271" s="37" t="s">
        <v>31</v>
      </c>
      <c r="AC271" s="37"/>
      <c r="AD271" s="37" t="s">
        <v>31</v>
      </c>
      <c r="AE271" s="37"/>
      <c r="AH271" s="17"/>
      <c r="AI271" s="17" t="b">
        <f t="shared" si="15"/>
        <v>1</v>
      </c>
      <c r="AJ271" s="17" t="b">
        <f t="shared" si="16"/>
        <v>1</v>
      </c>
      <c r="AK271" s="17" t="str">
        <f t="shared" si="17"/>
        <v>EM00000000</v>
      </c>
    </row>
    <row r="272" spans="1:37" ht="13.15" customHeight="1" x14ac:dyDescent="0.25">
      <c r="A272" s="37" t="s">
        <v>640</v>
      </c>
      <c r="B272" s="37">
        <v>1318</v>
      </c>
      <c r="C272" s="37" t="s">
        <v>524</v>
      </c>
      <c r="D272" s="37">
        <v>4</v>
      </c>
      <c r="E272" s="47" t="s">
        <v>205</v>
      </c>
      <c r="F272" s="48">
        <v>46266</v>
      </c>
      <c r="G272" s="48">
        <v>46295</v>
      </c>
      <c r="H272" s="37"/>
      <c r="I272" s="37"/>
      <c r="J272" s="37"/>
      <c r="K272" s="37"/>
      <c r="L272" s="37"/>
      <c r="M272" s="37"/>
      <c r="N272" s="37" t="s">
        <v>640</v>
      </c>
      <c r="O272" s="37" t="s">
        <v>524</v>
      </c>
      <c r="P272" s="51" t="s">
        <v>31</v>
      </c>
      <c r="Q272" s="37"/>
      <c r="R272" s="37" t="s">
        <v>31</v>
      </c>
      <c r="S272" s="37"/>
      <c r="T272" s="37"/>
      <c r="U272" s="37"/>
      <c r="V272" s="37" t="s">
        <v>202</v>
      </c>
      <c r="W272" s="37" t="s">
        <v>203</v>
      </c>
      <c r="X272" s="37" t="s">
        <v>31</v>
      </c>
      <c r="Y272" s="37"/>
      <c r="Z272" s="37" t="s">
        <v>31</v>
      </c>
      <c r="AA272" s="37"/>
      <c r="AB272" s="37" t="s">
        <v>31</v>
      </c>
      <c r="AC272" s="37"/>
      <c r="AD272" s="37" t="s">
        <v>31</v>
      </c>
      <c r="AE272" s="37"/>
      <c r="AH272" s="17"/>
      <c r="AI272" s="17" t="b">
        <f t="shared" si="15"/>
        <v>1</v>
      </c>
      <c r="AJ272" s="17" t="b">
        <f t="shared" si="16"/>
        <v>1</v>
      </c>
      <c r="AK272" s="17" t="str">
        <f t="shared" si="17"/>
        <v>EM00000000</v>
      </c>
    </row>
    <row r="273" spans="1:37" ht="13.15" customHeight="1" x14ac:dyDescent="0.25">
      <c r="A273" s="37" t="s">
        <v>202</v>
      </c>
      <c r="B273" s="37">
        <v>1315</v>
      </c>
      <c r="C273" s="37" t="s">
        <v>203</v>
      </c>
      <c r="D273" s="37">
        <v>8</v>
      </c>
      <c r="E273" s="47" t="s">
        <v>205</v>
      </c>
      <c r="F273" s="48">
        <v>46266</v>
      </c>
      <c r="G273" s="48">
        <v>46295</v>
      </c>
      <c r="H273" s="37"/>
      <c r="I273" s="37"/>
      <c r="J273" s="37"/>
      <c r="K273" s="37"/>
      <c r="L273" s="37"/>
      <c r="M273" s="37"/>
      <c r="N273" s="37"/>
      <c r="O273" s="37"/>
      <c r="P273" s="52" t="s">
        <v>31</v>
      </c>
      <c r="Q273" s="37"/>
      <c r="R273" s="37" t="s">
        <v>31</v>
      </c>
      <c r="S273" s="37"/>
      <c r="T273" s="37"/>
      <c r="U273" s="37"/>
      <c r="V273" s="37" t="s">
        <v>202</v>
      </c>
      <c r="W273" s="37" t="s">
        <v>203</v>
      </c>
      <c r="X273" s="37" t="s">
        <v>31</v>
      </c>
      <c r="Y273" s="37"/>
      <c r="Z273" s="37" t="s">
        <v>31</v>
      </c>
      <c r="AA273" s="37"/>
      <c r="AB273" s="37" t="s">
        <v>31</v>
      </c>
      <c r="AC273" s="37"/>
      <c r="AD273" s="37" t="s">
        <v>31</v>
      </c>
      <c r="AE273" s="37"/>
      <c r="AH273" s="17"/>
      <c r="AI273" s="17" t="b">
        <f t="shared" si="15"/>
        <v>1</v>
      </c>
      <c r="AJ273" s="17" t="b">
        <f t="shared" si="16"/>
        <v>1</v>
      </c>
      <c r="AK273" s="17" t="str">
        <f t="shared" si="17"/>
        <v>EM00000000</v>
      </c>
    </row>
    <row r="274" spans="1:37" ht="13.15" customHeight="1" x14ac:dyDescent="0.25">
      <c r="A274" s="37" t="s">
        <v>202</v>
      </c>
      <c r="B274" s="37">
        <v>1328</v>
      </c>
      <c r="C274" s="37" t="s">
        <v>203</v>
      </c>
      <c r="D274" s="37">
        <v>8</v>
      </c>
      <c r="E274" s="47" t="s">
        <v>205</v>
      </c>
      <c r="F274" s="48">
        <v>46266</v>
      </c>
      <c r="G274" s="48">
        <v>46295</v>
      </c>
      <c r="H274" s="37"/>
      <c r="I274" s="37"/>
      <c r="J274" s="37"/>
      <c r="K274" s="37"/>
      <c r="L274" s="37"/>
      <c r="M274" s="37"/>
      <c r="N274" s="37"/>
      <c r="O274" s="37"/>
      <c r="P274" s="37" t="s">
        <v>31</v>
      </c>
      <c r="Q274" s="37"/>
      <c r="R274" s="37" t="s">
        <v>31</v>
      </c>
      <c r="S274" s="37"/>
      <c r="T274" s="37"/>
      <c r="U274" s="37"/>
      <c r="V274" s="37" t="s">
        <v>202</v>
      </c>
      <c r="W274" s="37" t="s">
        <v>203</v>
      </c>
      <c r="X274" s="37" t="s">
        <v>31</v>
      </c>
      <c r="Y274" s="37"/>
      <c r="Z274" s="37" t="s">
        <v>31</v>
      </c>
      <c r="AA274" s="37"/>
      <c r="AB274" s="37" t="s">
        <v>31</v>
      </c>
      <c r="AC274" s="37"/>
      <c r="AD274" s="37" t="s">
        <v>31</v>
      </c>
      <c r="AE274" s="37"/>
      <c r="AH274" s="17"/>
      <c r="AI274" s="17" t="b">
        <f t="shared" si="15"/>
        <v>1</v>
      </c>
      <c r="AJ274" s="17" t="b">
        <f t="shared" si="16"/>
        <v>1</v>
      </c>
      <c r="AK274" s="17" t="str">
        <f t="shared" si="17"/>
        <v>EM00000000</v>
      </c>
    </row>
    <row r="275" spans="1:37" ht="13.15" customHeight="1" x14ac:dyDescent="0.25">
      <c r="A275" s="37" t="s">
        <v>202</v>
      </c>
      <c r="B275" s="37">
        <v>1319</v>
      </c>
      <c r="C275" s="37" t="s">
        <v>203</v>
      </c>
      <c r="D275" s="37">
        <v>8</v>
      </c>
      <c r="E275" s="47" t="s">
        <v>205</v>
      </c>
      <c r="F275" s="48">
        <v>46266</v>
      </c>
      <c r="G275" s="48">
        <v>46295</v>
      </c>
      <c r="H275" s="37"/>
      <c r="I275" s="37"/>
      <c r="J275" s="37"/>
      <c r="K275" s="37"/>
      <c r="L275" s="37"/>
      <c r="M275" s="37"/>
      <c r="N275" s="37"/>
      <c r="O275" s="37"/>
      <c r="P275" s="37" t="s">
        <v>31</v>
      </c>
      <c r="Q275" s="37"/>
      <c r="R275" s="37" t="s">
        <v>31</v>
      </c>
      <c r="S275" s="37"/>
      <c r="T275" s="37"/>
      <c r="U275" s="37"/>
      <c r="V275" s="37" t="s">
        <v>202</v>
      </c>
      <c r="W275" s="37" t="s">
        <v>203</v>
      </c>
      <c r="X275" s="37" t="s">
        <v>31</v>
      </c>
      <c r="Y275" s="37"/>
      <c r="Z275" s="37" t="s">
        <v>31</v>
      </c>
      <c r="AA275" s="37"/>
      <c r="AB275" s="37" t="s">
        <v>31</v>
      </c>
      <c r="AC275" s="37"/>
      <c r="AD275" s="37" t="s">
        <v>31</v>
      </c>
      <c r="AE275" s="37"/>
      <c r="AH275" s="17"/>
      <c r="AI275" s="17" t="b">
        <f t="shared" si="15"/>
        <v>1</v>
      </c>
      <c r="AJ275" s="17" t="b">
        <f t="shared" si="16"/>
        <v>1</v>
      </c>
      <c r="AK275" s="17" t="str">
        <f t="shared" si="17"/>
        <v>EM00000000</v>
      </c>
    </row>
    <row r="276" spans="1:37" ht="13.15" customHeight="1" x14ac:dyDescent="0.25">
      <c r="A276" s="37" t="s">
        <v>202</v>
      </c>
      <c r="B276" s="37">
        <v>1318</v>
      </c>
      <c r="C276" s="37" t="s">
        <v>203</v>
      </c>
      <c r="D276" s="37">
        <v>8</v>
      </c>
      <c r="E276" s="47" t="s">
        <v>205</v>
      </c>
      <c r="F276" s="48">
        <v>46266</v>
      </c>
      <c r="G276" s="48">
        <v>46295</v>
      </c>
      <c r="H276" s="37"/>
      <c r="I276" s="37"/>
      <c r="J276" s="37"/>
      <c r="K276" s="37"/>
      <c r="L276" s="37"/>
      <c r="M276" s="37"/>
      <c r="N276" s="37"/>
      <c r="O276" s="37"/>
      <c r="P276" s="51" t="s">
        <v>31</v>
      </c>
      <c r="Q276" s="37"/>
      <c r="R276" s="37" t="s">
        <v>31</v>
      </c>
      <c r="S276" s="37"/>
      <c r="T276" s="37"/>
      <c r="U276" s="37"/>
      <c r="V276" s="37" t="s">
        <v>202</v>
      </c>
      <c r="W276" s="37" t="s">
        <v>203</v>
      </c>
      <c r="X276" s="37" t="s">
        <v>31</v>
      </c>
      <c r="Y276" s="37"/>
      <c r="Z276" s="37" t="s">
        <v>31</v>
      </c>
      <c r="AA276" s="37"/>
      <c r="AB276" s="37" t="s">
        <v>31</v>
      </c>
      <c r="AC276" s="37"/>
      <c r="AD276" s="37" t="s">
        <v>31</v>
      </c>
      <c r="AE276" s="37"/>
      <c r="AH276" s="17"/>
      <c r="AI276" s="17" t="b">
        <f t="shared" si="15"/>
        <v>1</v>
      </c>
      <c r="AJ276" s="17" t="b">
        <f t="shared" si="16"/>
        <v>1</v>
      </c>
      <c r="AK276" s="17" t="str">
        <f t="shared" si="17"/>
        <v>EM00000000</v>
      </c>
    </row>
    <row r="277" spans="1:37" ht="13.15" customHeight="1" x14ac:dyDescent="0.25">
      <c r="A277" s="75" t="str">
        <f>_xlfn.XLOOKUP(C277,[1]Sheet2!$D:$D,[1]Sheet2!$C:$C)</f>
        <v>EM00015998</v>
      </c>
      <c r="B277" s="37">
        <v>1332</v>
      </c>
      <c r="C277" s="37" t="s">
        <v>525</v>
      </c>
      <c r="D277" s="37">
        <v>1</v>
      </c>
      <c r="E277" s="47" t="s">
        <v>205</v>
      </c>
      <c r="F277" s="48">
        <v>46266</v>
      </c>
      <c r="G277" s="48">
        <v>46295</v>
      </c>
      <c r="H277" s="37" t="s">
        <v>641</v>
      </c>
      <c r="I277" s="37" t="s">
        <v>525</v>
      </c>
      <c r="J277" s="37" t="s">
        <v>31</v>
      </c>
      <c r="K277" s="37" t="s">
        <v>529</v>
      </c>
      <c r="L277" s="37"/>
      <c r="M277" s="37"/>
      <c r="N277" s="37" t="s">
        <v>666</v>
      </c>
      <c r="O277" s="37" t="s">
        <v>561</v>
      </c>
      <c r="P277" s="51" t="s">
        <v>31</v>
      </c>
      <c r="Q277" s="37"/>
      <c r="R277" s="37" t="s">
        <v>31</v>
      </c>
      <c r="S277" s="37"/>
      <c r="T277" s="37" t="s">
        <v>204</v>
      </c>
      <c r="U277" s="37" t="s">
        <v>350</v>
      </c>
      <c r="V277" s="37"/>
      <c r="W277" s="37"/>
      <c r="X277" s="37" t="s">
        <v>31</v>
      </c>
      <c r="Y277" s="37"/>
      <c r="Z277" s="37" t="s">
        <v>31</v>
      </c>
      <c r="AA277" s="37"/>
      <c r="AB277" s="37" t="s">
        <v>31</v>
      </c>
      <c r="AC277" s="37"/>
      <c r="AD277" s="37" t="s">
        <v>31</v>
      </c>
      <c r="AE277" s="37"/>
      <c r="AH277" s="17"/>
      <c r="AI277" s="17" t="b">
        <f t="shared" si="15"/>
        <v>1</v>
      </c>
      <c r="AJ277" s="17" t="b">
        <f t="shared" si="16"/>
        <v>1</v>
      </c>
      <c r="AK277" s="17" t="str">
        <f t="shared" si="17"/>
        <v>EM00000000</v>
      </c>
    </row>
    <row r="278" spans="1:37" ht="13.15" customHeight="1" x14ac:dyDescent="0.25">
      <c r="A278" s="75" t="str">
        <f>_xlfn.XLOOKUP(C278,[1]Sheet2!$D:$D,[1]Sheet2!$C:$C)</f>
        <v>EM00016272</v>
      </c>
      <c r="B278" s="37">
        <v>1332</v>
      </c>
      <c r="C278" s="37" t="s">
        <v>526</v>
      </c>
      <c r="D278" s="37">
        <v>1</v>
      </c>
      <c r="E278" s="47" t="s">
        <v>205</v>
      </c>
      <c r="F278" s="48">
        <v>46266</v>
      </c>
      <c r="G278" s="48">
        <v>46295</v>
      </c>
      <c r="H278" s="37" t="s">
        <v>642</v>
      </c>
      <c r="I278" s="37" t="s">
        <v>526</v>
      </c>
      <c r="J278" s="37" t="s">
        <v>31</v>
      </c>
      <c r="K278" s="37" t="s">
        <v>529</v>
      </c>
      <c r="L278" s="37"/>
      <c r="M278" s="37"/>
      <c r="N278" s="37" t="s">
        <v>666</v>
      </c>
      <c r="O278" s="37" t="s">
        <v>561</v>
      </c>
      <c r="P278" s="52" t="s">
        <v>31</v>
      </c>
      <c r="Q278" s="37"/>
      <c r="R278" s="37" t="s">
        <v>31</v>
      </c>
      <c r="S278" s="37"/>
      <c r="T278" s="37" t="s">
        <v>204</v>
      </c>
      <c r="U278" s="37" t="s">
        <v>350</v>
      </c>
      <c r="V278" s="37"/>
      <c r="W278" s="37"/>
      <c r="X278" s="37" t="s">
        <v>31</v>
      </c>
      <c r="Y278" s="37"/>
      <c r="Z278" s="37" t="s">
        <v>31</v>
      </c>
      <c r="AA278" s="37"/>
      <c r="AB278" s="37" t="s">
        <v>31</v>
      </c>
      <c r="AC278" s="37"/>
      <c r="AD278" s="37" t="s">
        <v>31</v>
      </c>
      <c r="AE278" s="37"/>
      <c r="AH278" s="17"/>
      <c r="AI278" s="17" t="b">
        <f t="shared" si="15"/>
        <v>1</v>
      </c>
      <c r="AJ278" s="17" t="b">
        <f t="shared" si="16"/>
        <v>1</v>
      </c>
      <c r="AK278" s="17" t="str">
        <f t="shared" si="17"/>
        <v>EM00000000</v>
      </c>
    </row>
    <row r="279" spans="1:37" ht="13.15" customHeight="1" x14ac:dyDescent="0.25">
      <c r="A279" s="75" t="str">
        <f>_xlfn.XLOOKUP(C279,[1]Sheet2!$D:$D,[1]Sheet2!$C:$C)</f>
        <v>EM00016269</v>
      </c>
      <c r="B279" s="37">
        <v>1332</v>
      </c>
      <c r="C279" s="37" t="s">
        <v>527</v>
      </c>
      <c r="D279" s="37">
        <v>1</v>
      </c>
      <c r="E279" s="47" t="s">
        <v>205</v>
      </c>
      <c r="F279" s="48">
        <v>46266</v>
      </c>
      <c r="G279" s="48">
        <v>46295</v>
      </c>
      <c r="H279" s="37" t="s">
        <v>643</v>
      </c>
      <c r="I279" s="37" t="s">
        <v>527</v>
      </c>
      <c r="J279" s="37" t="s">
        <v>31</v>
      </c>
      <c r="K279" s="37" t="s">
        <v>529</v>
      </c>
      <c r="L279" s="37"/>
      <c r="M279" s="37"/>
      <c r="N279" s="37" t="s">
        <v>666</v>
      </c>
      <c r="O279" s="37" t="s">
        <v>561</v>
      </c>
      <c r="P279" s="37" t="s">
        <v>31</v>
      </c>
      <c r="Q279" s="37"/>
      <c r="R279" s="37" t="s">
        <v>31</v>
      </c>
      <c r="S279" s="37"/>
      <c r="T279" s="37" t="s">
        <v>204</v>
      </c>
      <c r="U279" s="37" t="s">
        <v>350</v>
      </c>
      <c r="V279" s="37"/>
      <c r="W279" s="37"/>
      <c r="X279" s="37" t="s">
        <v>31</v>
      </c>
      <c r="Y279" s="37"/>
      <c r="Z279" s="37" t="s">
        <v>31</v>
      </c>
      <c r="AA279" s="37"/>
      <c r="AB279" s="37" t="s">
        <v>31</v>
      </c>
      <c r="AC279" s="37"/>
      <c r="AD279" s="37" t="s">
        <v>31</v>
      </c>
      <c r="AE279" s="37"/>
      <c r="AH279" s="17"/>
      <c r="AI279" s="17" t="b">
        <f t="shared" si="15"/>
        <v>1</v>
      </c>
      <c r="AJ279" s="17" t="b">
        <f t="shared" si="16"/>
        <v>1</v>
      </c>
      <c r="AK279" s="17" t="str">
        <f t="shared" si="17"/>
        <v>EM00000000</v>
      </c>
    </row>
    <row r="280" spans="1:37" ht="13.15" customHeight="1" x14ac:dyDescent="0.25">
      <c r="A280" s="75" t="str">
        <f>_xlfn.XLOOKUP(C280,[1]Sheet2!$D:$D,[1]Sheet2!$C:$C)</f>
        <v>EM00016389</v>
      </c>
      <c r="B280" s="37">
        <v>1332</v>
      </c>
      <c r="C280" s="37" t="s">
        <v>528</v>
      </c>
      <c r="D280" s="37">
        <v>1</v>
      </c>
      <c r="E280" s="47" t="s">
        <v>205</v>
      </c>
      <c r="F280" s="48">
        <v>46266</v>
      </c>
      <c r="G280" s="48">
        <v>46295</v>
      </c>
      <c r="H280" s="37" t="s">
        <v>644</v>
      </c>
      <c r="I280" s="37" t="s">
        <v>528</v>
      </c>
      <c r="J280" s="37" t="s">
        <v>31</v>
      </c>
      <c r="K280" s="37" t="s">
        <v>529</v>
      </c>
      <c r="L280" s="37"/>
      <c r="M280" s="37"/>
      <c r="N280" s="37" t="s">
        <v>666</v>
      </c>
      <c r="O280" s="37" t="s">
        <v>561</v>
      </c>
      <c r="P280" s="37" t="s">
        <v>31</v>
      </c>
      <c r="Q280" s="37"/>
      <c r="R280" s="37" t="s">
        <v>31</v>
      </c>
      <c r="S280" s="37"/>
      <c r="T280" s="37" t="s">
        <v>204</v>
      </c>
      <c r="U280" s="37" t="s">
        <v>350</v>
      </c>
      <c r="V280" s="37"/>
      <c r="W280" s="37"/>
      <c r="X280" s="37" t="s">
        <v>31</v>
      </c>
      <c r="Y280" s="37"/>
      <c r="Z280" s="37" t="s">
        <v>31</v>
      </c>
      <c r="AA280" s="37"/>
      <c r="AB280" s="37" t="s">
        <v>31</v>
      </c>
      <c r="AC280" s="37"/>
      <c r="AD280" s="37" t="s">
        <v>31</v>
      </c>
      <c r="AE280" s="37"/>
      <c r="AH280" s="17"/>
      <c r="AI280" s="17" t="b">
        <f t="shared" si="15"/>
        <v>1</v>
      </c>
      <c r="AJ280" s="17" t="b">
        <f t="shared" si="16"/>
        <v>1</v>
      </c>
      <c r="AK280" s="17" t="str">
        <f t="shared" si="17"/>
        <v>EM00000000</v>
      </c>
    </row>
    <row r="281" spans="1:37" ht="13.15" customHeight="1" x14ac:dyDescent="0.25">
      <c r="A281" s="75" t="str">
        <f>_xlfn.XLOOKUP(C281,[1]Sheet2!$D:$D,[1]Sheet2!$C:$C)</f>
        <v>EM00000000</v>
      </c>
      <c r="B281" s="37">
        <v>1332</v>
      </c>
      <c r="C281" s="37" t="s">
        <v>724</v>
      </c>
      <c r="D281" s="37">
        <v>1</v>
      </c>
      <c r="E281" s="47" t="s">
        <v>205</v>
      </c>
      <c r="F281" s="48">
        <v>46266</v>
      </c>
      <c r="G281" s="48">
        <v>46295</v>
      </c>
      <c r="H281" s="37" t="s">
        <v>31</v>
      </c>
      <c r="I281" s="37" t="s">
        <v>724</v>
      </c>
      <c r="J281" s="37" t="s">
        <v>31</v>
      </c>
      <c r="K281" s="37" t="s">
        <v>529</v>
      </c>
      <c r="L281" s="37"/>
      <c r="M281" s="37"/>
      <c r="N281" s="37" t="s">
        <v>666</v>
      </c>
      <c r="O281" s="37" t="s">
        <v>561</v>
      </c>
      <c r="P281" s="51" t="s">
        <v>31</v>
      </c>
      <c r="Q281" s="37"/>
      <c r="R281" s="37" t="s">
        <v>31</v>
      </c>
      <c r="S281" s="37"/>
      <c r="T281" s="37" t="s">
        <v>204</v>
      </c>
      <c r="U281" s="37" t="s">
        <v>350</v>
      </c>
      <c r="V281" s="37"/>
      <c r="W281" s="37"/>
      <c r="X281" s="37" t="s">
        <v>31</v>
      </c>
      <c r="Y281" s="37"/>
      <c r="Z281" s="37" t="s">
        <v>31</v>
      </c>
      <c r="AA281" s="37"/>
      <c r="AB281" s="37" t="s">
        <v>31</v>
      </c>
      <c r="AC281" s="37"/>
      <c r="AD281" s="37" t="s">
        <v>31</v>
      </c>
      <c r="AE281" s="37"/>
      <c r="AH281" s="17"/>
      <c r="AI281" s="17" t="b">
        <f t="shared" si="15"/>
        <v>1</v>
      </c>
      <c r="AJ281" s="17" t="b">
        <f t="shared" si="16"/>
        <v>1</v>
      </c>
      <c r="AK281" s="17" t="str">
        <f t="shared" si="17"/>
        <v>EM00000000</v>
      </c>
    </row>
    <row r="282" spans="1:37" ht="13.15" customHeight="1" x14ac:dyDescent="0.25">
      <c r="A282" s="75" t="str">
        <f>_xlfn.XLOOKUP(C282,[1]Sheet2!$D:$D,[1]Sheet2!$C:$C)</f>
        <v>EM00000000</v>
      </c>
      <c r="B282" s="37">
        <v>1332</v>
      </c>
      <c r="C282" s="37" t="s">
        <v>725</v>
      </c>
      <c r="D282" s="37">
        <v>1</v>
      </c>
      <c r="E282" s="47" t="s">
        <v>205</v>
      </c>
      <c r="F282" s="48">
        <v>46266</v>
      </c>
      <c r="G282" s="48">
        <v>46295</v>
      </c>
      <c r="H282" s="37" t="s">
        <v>31</v>
      </c>
      <c r="I282" s="37" t="s">
        <v>725</v>
      </c>
      <c r="J282" s="37" t="s">
        <v>31</v>
      </c>
      <c r="K282" s="37" t="s">
        <v>529</v>
      </c>
      <c r="L282" s="37"/>
      <c r="M282" s="37"/>
      <c r="N282" s="37" t="s">
        <v>666</v>
      </c>
      <c r="O282" s="37" t="s">
        <v>561</v>
      </c>
      <c r="P282" s="51" t="s">
        <v>31</v>
      </c>
      <c r="Q282" s="37"/>
      <c r="R282" s="37" t="s">
        <v>31</v>
      </c>
      <c r="S282" s="37"/>
      <c r="T282" s="37" t="s">
        <v>204</v>
      </c>
      <c r="U282" s="37" t="s">
        <v>350</v>
      </c>
      <c r="V282" s="37"/>
      <c r="W282" s="37"/>
      <c r="X282" s="37" t="s">
        <v>31</v>
      </c>
      <c r="Y282" s="37"/>
      <c r="Z282" s="37" t="s">
        <v>31</v>
      </c>
      <c r="AA282" s="37"/>
      <c r="AB282" s="37" t="s">
        <v>31</v>
      </c>
      <c r="AC282" s="37"/>
      <c r="AD282" s="37" t="s">
        <v>31</v>
      </c>
      <c r="AE282" s="37"/>
      <c r="AH282" s="17"/>
      <c r="AI282" s="17" t="b">
        <f t="shared" si="15"/>
        <v>1</v>
      </c>
      <c r="AJ282" s="17" t="b">
        <f t="shared" si="16"/>
        <v>1</v>
      </c>
      <c r="AK282" s="17" t="str">
        <f t="shared" si="17"/>
        <v>EM00000000</v>
      </c>
    </row>
    <row r="283" spans="1:37" ht="13.15" customHeight="1" x14ac:dyDescent="0.25">
      <c r="A283" s="75" t="str">
        <f>_xlfn.XLOOKUP(C283,[1]Sheet2!$D:$D,[1]Sheet2!$C:$C)</f>
        <v>EM00000000</v>
      </c>
      <c r="B283" s="37">
        <v>1332</v>
      </c>
      <c r="C283" s="37" t="s">
        <v>529</v>
      </c>
      <c r="D283" s="37">
        <v>2</v>
      </c>
      <c r="E283" s="47" t="s">
        <v>205</v>
      </c>
      <c r="F283" s="48">
        <v>46266</v>
      </c>
      <c r="G283" s="48">
        <v>46295</v>
      </c>
      <c r="H283" s="37"/>
      <c r="I283" s="37"/>
      <c r="J283" s="37" t="s">
        <v>31</v>
      </c>
      <c r="K283" s="37" t="s">
        <v>529</v>
      </c>
      <c r="L283" s="37"/>
      <c r="M283" s="37"/>
      <c r="N283" s="37" t="s">
        <v>666</v>
      </c>
      <c r="O283" s="37" t="s">
        <v>561</v>
      </c>
      <c r="P283" s="52" t="s">
        <v>31</v>
      </c>
      <c r="Q283" s="37"/>
      <c r="R283" s="37" t="s">
        <v>31</v>
      </c>
      <c r="S283" s="37"/>
      <c r="T283" s="37" t="s">
        <v>204</v>
      </c>
      <c r="U283" s="37" t="s">
        <v>350</v>
      </c>
      <c r="V283" s="37"/>
      <c r="W283" s="37"/>
      <c r="X283" s="37" t="s">
        <v>31</v>
      </c>
      <c r="Y283" s="37"/>
      <c r="Z283" s="37" t="s">
        <v>31</v>
      </c>
      <c r="AA283" s="37"/>
      <c r="AB283" s="37" t="s">
        <v>31</v>
      </c>
      <c r="AC283" s="37"/>
      <c r="AD283" s="37" t="s">
        <v>31</v>
      </c>
      <c r="AE283" s="37"/>
      <c r="AH283" s="17"/>
      <c r="AI283" s="17" t="b">
        <f t="shared" si="15"/>
        <v>1</v>
      </c>
      <c r="AJ283" s="17" t="b">
        <f t="shared" si="16"/>
        <v>1</v>
      </c>
      <c r="AK283" s="17" t="str">
        <f t="shared" si="17"/>
        <v>EM00003990</v>
      </c>
    </row>
    <row r="284" spans="1:37" ht="13.15" customHeight="1" x14ac:dyDescent="0.25">
      <c r="A284" s="75" t="str">
        <f>_xlfn.XLOOKUP(C284,[1]Sheet2!$D:$D,[1]Sheet2!$C:$C)</f>
        <v>EM00000000</v>
      </c>
      <c r="B284" s="37">
        <v>1317</v>
      </c>
      <c r="C284" s="37" t="s">
        <v>533</v>
      </c>
      <c r="D284" s="37">
        <v>1</v>
      </c>
      <c r="E284" s="47" t="s">
        <v>205</v>
      </c>
      <c r="F284" s="48">
        <v>46266</v>
      </c>
      <c r="G284" s="48">
        <v>46295</v>
      </c>
      <c r="H284" s="41" t="s">
        <v>31</v>
      </c>
      <c r="I284" s="37" t="s">
        <v>533</v>
      </c>
      <c r="J284" s="37" t="s">
        <v>31</v>
      </c>
      <c r="K284" s="37" t="s">
        <v>536</v>
      </c>
      <c r="L284" s="37"/>
      <c r="M284" s="37"/>
      <c r="N284" s="37" t="s">
        <v>666</v>
      </c>
      <c r="O284" s="37" t="s">
        <v>561</v>
      </c>
      <c r="P284" s="37" t="s">
        <v>31</v>
      </c>
      <c r="Q284" s="37"/>
      <c r="R284" s="37" t="s">
        <v>31</v>
      </c>
      <c r="S284" s="37"/>
      <c r="T284" s="37" t="s">
        <v>204</v>
      </c>
      <c r="U284" s="37" t="s">
        <v>350</v>
      </c>
      <c r="V284" s="37"/>
      <c r="W284" s="37"/>
      <c r="X284" s="37" t="s">
        <v>31</v>
      </c>
      <c r="Y284" s="37"/>
      <c r="Z284" s="37" t="s">
        <v>31</v>
      </c>
      <c r="AA284" s="37"/>
      <c r="AB284" s="37" t="s">
        <v>31</v>
      </c>
      <c r="AC284" s="37"/>
      <c r="AD284" s="37" t="s">
        <v>31</v>
      </c>
      <c r="AE284" s="37"/>
      <c r="AH284" s="17"/>
      <c r="AI284" s="17" t="b">
        <f t="shared" si="15"/>
        <v>1</v>
      </c>
      <c r="AJ284" s="17" t="b">
        <f t="shared" si="16"/>
        <v>1</v>
      </c>
      <c r="AK284" s="17" t="str">
        <f t="shared" si="17"/>
        <v>EM00000000</v>
      </c>
    </row>
    <row r="285" spans="1:37" ht="13.15" customHeight="1" x14ac:dyDescent="0.25">
      <c r="A285" s="75" t="str">
        <f>_xlfn.XLOOKUP(C285,[1]Sheet2!$D:$D,[1]Sheet2!$C:$C)</f>
        <v>EM00016276</v>
      </c>
      <c r="B285" s="37">
        <v>1317</v>
      </c>
      <c r="C285" s="37" t="s">
        <v>534</v>
      </c>
      <c r="D285" s="37">
        <v>1</v>
      </c>
      <c r="E285" s="47" t="s">
        <v>205</v>
      </c>
      <c r="F285" s="48">
        <v>46266</v>
      </c>
      <c r="G285" s="48">
        <v>46295</v>
      </c>
      <c r="H285" s="37" t="s">
        <v>648</v>
      </c>
      <c r="I285" s="37" t="s">
        <v>534</v>
      </c>
      <c r="J285" s="37" t="s">
        <v>31</v>
      </c>
      <c r="K285" s="37" t="s">
        <v>536</v>
      </c>
      <c r="L285" s="37"/>
      <c r="M285" s="37"/>
      <c r="N285" s="37" t="s">
        <v>666</v>
      </c>
      <c r="O285" s="37" t="s">
        <v>561</v>
      </c>
      <c r="P285" s="37" t="s">
        <v>31</v>
      </c>
      <c r="Q285" s="37"/>
      <c r="R285" s="37" t="s">
        <v>31</v>
      </c>
      <c r="S285" s="37"/>
      <c r="T285" s="37" t="s">
        <v>204</v>
      </c>
      <c r="U285" s="37" t="s">
        <v>350</v>
      </c>
      <c r="V285" s="37"/>
      <c r="W285" s="37"/>
      <c r="X285" s="37" t="s">
        <v>31</v>
      </c>
      <c r="Y285" s="37"/>
      <c r="Z285" s="37" t="s">
        <v>31</v>
      </c>
      <c r="AA285" s="37"/>
      <c r="AB285" s="37" t="s">
        <v>31</v>
      </c>
      <c r="AC285" s="37"/>
      <c r="AD285" s="37" t="s">
        <v>31</v>
      </c>
      <c r="AE285" s="37"/>
      <c r="AH285" s="17"/>
      <c r="AI285" s="17" t="b">
        <f t="shared" si="15"/>
        <v>1</v>
      </c>
      <c r="AJ285" s="17" t="b">
        <f t="shared" si="16"/>
        <v>1</v>
      </c>
      <c r="AK285" s="17" t="str">
        <f t="shared" si="17"/>
        <v>EM00000000</v>
      </c>
    </row>
    <row r="286" spans="1:37" ht="13.15" customHeight="1" x14ac:dyDescent="0.25">
      <c r="A286" s="75" t="str">
        <f>_xlfn.XLOOKUP(C286,[1]Sheet2!$D:$D,[1]Sheet2!$C:$C)</f>
        <v>EM00016003</v>
      </c>
      <c r="B286" s="37">
        <v>1317</v>
      </c>
      <c r="C286" s="37" t="s">
        <v>535</v>
      </c>
      <c r="D286" s="37">
        <v>1</v>
      </c>
      <c r="E286" s="47" t="s">
        <v>205</v>
      </c>
      <c r="F286" s="48">
        <v>46266</v>
      </c>
      <c r="G286" s="48">
        <v>46295</v>
      </c>
      <c r="H286" s="37" t="s">
        <v>649</v>
      </c>
      <c r="I286" s="37" t="s">
        <v>535</v>
      </c>
      <c r="J286" s="37" t="s">
        <v>31</v>
      </c>
      <c r="K286" s="37" t="s">
        <v>536</v>
      </c>
      <c r="L286" s="37"/>
      <c r="M286" s="37"/>
      <c r="N286" s="37" t="s">
        <v>666</v>
      </c>
      <c r="O286" s="37" t="s">
        <v>561</v>
      </c>
      <c r="P286" s="51" t="s">
        <v>31</v>
      </c>
      <c r="Q286" s="37"/>
      <c r="R286" s="37" t="s">
        <v>31</v>
      </c>
      <c r="S286" s="37"/>
      <c r="T286" s="37" t="s">
        <v>204</v>
      </c>
      <c r="U286" s="37" t="s">
        <v>350</v>
      </c>
      <c r="V286" s="37"/>
      <c r="W286" s="37"/>
      <c r="X286" s="37" t="s">
        <v>31</v>
      </c>
      <c r="Y286" s="37"/>
      <c r="Z286" s="37" t="s">
        <v>31</v>
      </c>
      <c r="AA286" s="37"/>
      <c r="AB286" s="37" t="s">
        <v>31</v>
      </c>
      <c r="AC286" s="37"/>
      <c r="AD286" s="37" t="s">
        <v>31</v>
      </c>
      <c r="AE286" s="37"/>
      <c r="AH286" s="17"/>
      <c r="AI286" s="17" t="b">
        <f t="shared" si="15"/>
        <v>1</v>
      </c>
      <c r="AJ286" s="17" t="b">
        <f t="shared" si="16"/>
        <v>1</v>
      </c>
      <c r="AK286" s="17" t="str">
        <f t="shared" si="17"/>
        <v>EM00000000</v>
      </c>
    </row>
    <row r="287" spans="1:37" ht="13.15" customHeight="1" x14ac:dyDescent="0.25">
      <c r="A287" s="75" t="str">
        <f>_xlfn.XLOOKUP(C287,[1]Sheet2!$D:$D,[1]Sheet2!$C:$C)</f>
        <v>EM00016267</v>
      </c>
      <c r="B287" s="37">
        <v>1317</v>
      </c>
      <c r="C287" s="37" t="s">
        <v>532</v>
      </c>
      <c r="D287" s="37">
        <v>1</v>
      </c>
      <c r="E287" s="47" t="s">
        <v>205</v>
      </c>
      <c r="F287" s="48">
        <v>46266</v>
      </c>
      <c r="G287" s="48">
        <v>46295</v>
      </c>
      <c r="H287" s="37" t="s">
        <v>647</v>
      </c>
      <c r="I287" s="37" t="s">
        <v>532</v>
      </c>
      <c r="J287" s="37" t="s">
        <v>31</v>
      </c>
      <c r="K287" s="37" t="s">
        <v>536</v>
      </c>
      <c r="L287" s="37"/>
      <c r="M287" s="37"/>
      <c r="N287" s="37" t="s">
        <v>666</v>
      </c>
      <c r="O287" s="37" t="s">
        <v>561</v>
      </c>
      <c r="P287" s="51" t="s">
        <v>31</v>
      </c>
      <c r="Q287" s="37"/>
      <c r="R287" s="37" t="s">
        <v>31</v>
      </c>
      <c r="S287" s="37"/>
      <c r="T287" s="37" t="s">
        <v>204</v>
      </c>
      <c r="U287" s="37" t="s">
        <v>350</v>
      </c>
      <c r="V287" s="37"/>
      <c r="W287" s="37"/>
      <c r="X287" s="37" t="s">
        <v>31</v>
      </c>
      <c r="Y287" s="37"/>
      <c r="Z287" s="37" t="s">
        <v>31</v>
      </c>
      <c r="AA287" s="37"/>
      <c r="AB287" s="37" t="s">
        <v>31</v>
      </c>
      <c r="AC287" s="37"/>
      <c r="AD287" s="37" t="s">
        <v>31</v>
      </c>
      <c r="AE287" s="37"/>
      <c r="AH287" s="17"/>
      <c r="AI287" s="17" t="b">
        <f t="shared" si="15"/>
        <v>1</v>
      </c>
      <c r="AJ287" s="17" t="b">
        <f t="shared" si="16"/>
        <v>1</v>
      </c>
      <c r="AK287" s="17" t="str">
        <f t="shared" si="17"/>
        <v>EM00000000</v>
      </c>
    </row>
    <row r="288" spans="1:37" ht="13.15" customHeight="1" x14ac:dyDescent="0.25">
      <c r="A288" s="75" t="str">
        <f>_xlfn.XLOOKUP(C288,[1]Sheet2!$D:$D,[1]Sheet2!$C:$C)</f>
        <v>EM00000000</v>
      </c>
      <c r="B288" s="37">
        <v>1317</v>
      </c>
      <c r="C288" s="37" t="s">
        <v>726</v>
      </c>
      <c r="D288" s="37">
        <v>1</v>
      </c>
      <c r="E288" s="47" t="s">
        <v>205</v>
      </c>
      <c r="F288" s="48">
        <v>46266</v>
      </c>
      <c r="G288" s="48">
        <v>46295</v>
      </c>
      <c r="H288" s="37" t="s">
        <v>31</v>
      </c>
      <c r="I288" s="37" t="s">
        <v>726</v>
      </c>
      <c r="J288" s="37" t="s">
        <v>31</v>
      </c>
      <c r="K288" s="37" t="s">
        <v>536</v>
      </c>
      <c r="L288" s="37"/>
      <c r="M288" s="37"/>
      <c r="N288" s="37" t="s">
        <v>666</v>
      </c>
      <c r="O288" s="37" t="s">
        <v>561</v>
      </c>
      <c r="P288" s="52" t="s">
        <v>31</v>
      </c>
      <c r="Q288" s="37"/>
      <c r="R288" s="37" t="s">
        <v>31</v>
      </c>
      <c r="S288" s="37"/>
      <c r="T288" s="37" t="s">
        <v>204</v>
      </c>
      <c r="U288" s="37" t="s">
        <v>350</v>
      </c>
      <c r="V288" s="37"/>
      <c r="W288" s="37"/>
      <c r="X288" s="37" t="s">
        <v>31</v>
      </c>
      <c r="Y288" s="37"/>
      <c r="Z288" s="37" t="s">
        <v>31</v>
      </c>
      <c r="AA288" s="37"/>
      <c r="AB288" s="37" t="s">
        <v>31</v>
      </c>
      <c r="AC288" s="37"/>
      <c r="AD288" s="37" t="s">
        <v>31</v>
      </c>
      <c r="AE288" s="37"/>
      <c r="AH288" s="17"/>
      <c r="AI288" s="17" t="b">
        <f t="shared" si="15"/>
        <v>1</v>
      </c>
      <c r="AJ288" s="17" t="b">
        <f t="shared" si="16"/>
        <v>1</v>
      </c>
      <c r="AK288" s="17" t="str">
        <f t="shared" si="17"/>
        <v>EM00000000</v>
      </c>
    </row>
    <row r="289" spans="1:37" ht="13.15" customHeight="1" x14ac:dyDescent="0.25">
      <c r="A289" s="75" t="str">
        <f>_xlfn.XLOOKUP(C289,[1]Sheet2!$D:$D,[1]Sheet2!$C:$C)</f>
        <v>EM00000000</v>
      </c>
      <c r="B289" s="37">
        <v>1317</v>
      </c>
      <c r="C289" s="37" t="s">
        <v>727</v>
      </c>
      <c r="D289" s="37">
        <v>1</v>
      </c>
      <c r="E289" s="47" t="s">
        <v>205</v>
      </c>
      <c r="F289" s="48">
        <v>46266</v>
      </c>
      <c r="G289" s="48">
        <v>46295</v>
      </c>
      <c r="H289" s="37" t="s">
        <v>31</v>
      </c>
      <c r="I289" s="37" t="s">
        <v>727</v>
      </c>
      <c r="J289" s="37" t="s">
        <v>31</v>
      </c>
      <c r="K289" s="37" t="s">
        <v>536</v>
      </c>
      <c r="L289" s="37"/>
      <c r="M289" s="37"/>
      <c r="N289" s="37" t="s">
        <v>666</v>
      </c>
      <c r="O289" s="37" t="s">
        <v>561</v>
      </c>
      <c r="P289" s="37" t="s">
        <v>31</v>
      </c>
      <c r="Q289" s="37"/>
      <c r="R289" s="37" t="s">
        <v>31</v>
      </c>
      <c r="S289" s="37"/>
      <c r="T289" s="37" t="s">
        <v>204</v>
      </c>
      <c r="U289" s="37" t="s">
        <v>350</v>
      </c>
      <c r="V289" s="37"/>
      <c r="W289" s="37"/>
      <c r="X289" s="37" t="s">
        <v>31</v>
      </c>
      <c r="Y289" s="37"/>
      <c r="Z289" s="37" t="s">
        <v>31</v>
      </c>
      <c r="AA289" s="37"/>
      <c r="AB289" s="37" t="s">
        <v>31</v>
      </c>
      <c r="AC289" s="37"/>
      <c r="AD289" s="37" t="s">
        <v>31</v>
      </c>
      <c r="AE289" s="37"/>
      <c r="AH289" s="17"/>
      <c r="AI289" s="17" t="b">
        <f t="shared" si="15"/>
        <v>1</v>
      </c>
      <c r="AJ289" s="17" t="b">
        <f t="shared" si="16"/>
        <v>1</v>
      </c>
      <c r="AK289" s="17" t="str">
        <f t="shared" si="17"/>
        <v>EM00000000</v>
      </c>
    </row>
    <row r="290" spans="1:37" ht="13.15" customHeight="1" x14ac:dyDescent="0.25">
      <c r="A290" s="75" t="str">
        <f>_xlfn.XLOOKUP(C290,[1]Sheet2!$D:$D,[1]Sheet2!$C:$C)</f>
        <v>EM00000000</v>
      </c>
      <c r="B290" s="37">
        <v>1317</v>
      </c>
      <c r="C290" s="37" t="s">
        <v>536</v>
      </c>
      <c r="D290" s="37">
        <v>2</v>
      </c>
      <c r="E290" s="47" t="s">
        <v>205</v>
      </c>
      <c r="F290" s="48">
        <v>46266</v>
      </c>
      <c r="G290" s="48">
        <v>46295</v>
      </c>
      <c r="H290" s="37"/>
      <c r="I290" s="37"/>
      <c r="J290" s="37" t="s">
        <v>31</v>
      </c>
      <c r="K290" s="37" t="s">
        <v>536</v>
      </c>
      <c r="L290" s="37"/>
      <c r="M290" s="37"/>
      <c r="N290" s="37" t="s">
        <v>666</v>
      </c>
      <c r="O290" s="37" t="s">
        <v>561</v>
      </c>
      <c r="P290" s="37" t="s">
        <v>31</v>
      </c>
      <c r="Q290" s="37"/>
      <c r="R290" s="37" t="s">
        <v>31</v>
      </c>
      <c r="S290" s="37"/>
      <c r="T290" s="37" t="s">
        <v>204</v>
      </c>
      <c r="U290" s="37" t="s">
        <v>350</v>
      </c>
      <c r="V290" s="37"/>
      <c r="W290" s="37"/>
      <c r="X290" s="37" t="s">
        <v>31</v>
      </c>
      <c r="Y290" s="37"/>
      <c r="Z290" s="37" t="s">
        <v>31</v>
      </c>
      <c r="AA290" s="37"/>
      <c r="AB290" s="37" t="s">
        <v>31</v>
      </c>
      <c r="AC290" s="37"/>
      <c r="AD290" s="37" t="s">
        <v>31</v>
      </c>
      <c r="AE290" s="37"/>
      <c r="AH290" s="17"/>
      <c r="AI290" s="17" t="b">
        <f t="shared" si="15"/>
        <v>1</v>
      </c>
      <c r="AJ290" s="17" t="b">
        <f t="shared" si="16"/>
        <v>1</v>
      </c>
      <c r="AK290" s="17" t="str">
        <f t="shared" si="17"/>
        <v>EM00003990</v>
      </c>
    </row>
    <row r="291" spans="1:37" ht="13.15" customHeight="1" x14ac:dyDescent="0.25">
      <c r="A291" s="75" t="str">
        <f>_xlfn.XLOOKUP(C291,[1]Sheet2!$D:$D,[1]Sheet2!$C:$C)</f>
        <v>EM00016388</v>
      </c>
      <c r="B291" s="37">
        <v>1317</v>
      </c>
      <c r="C291" s="37" t="s">
        <v>728</v>
      </c>
      <c r="D291" s="37">
        <v>1</v>
      </c>
      <c r="E291" s="47" t="s">
        <v>205</v>
      </c>
      <c r="F291" s="48">
        <v>46266</v>
      </c>
      <c r="G291" s="48">
        <v>46295</v>
      </c>
      <c r="H291" s="37" t="s">
        <v>688</v>
      </c>
      <c r="I291" s="37" t="s">
        <v>728</v>
      </c>
      <c r="J291" s="37" t="s">
        <v>31</v>
      </c>
      <c r="K291" s="37" t="s">
        <v>926</v>
      </c>
      <c r="L291" s="37"/>
      <c r="M291" s="37"/>
      <c r="N291" s="37" t="s">
        <v>666</v>
      </c>
      <c r="O291" s="37" t="s">
        <v>561</v>
      </c>
      <c r="P291" s="51" t="s">
        <v>31</v>
      </c>
      <c r="Q291" s="37"/>
      <c r="R291" s="37" t="s">
        <v>31</v>
      </c>
      <c r="S291" s="37"/>
      <c r="T291" s="37" t="s">
        <v>204</v>
      </c>
      <c r="U291" s="37" t="s">
        <v>350</v>
      </c>
      <c r="V291" s="37"/>
      <c r="W291" s="37"/>
      <c r="X291" s="37" t="s">
        <v>31</v>
      </c>
      <c r="Y291" s="37"/>
      <c r="Z291" s="37" t="s">
        <v>31</v>
      </c>
      <c r="AA291" s="37"/>
      <c r="AB291" s="37" t="s">
        <v>31</v>
      </c>
      <c r="AC291" s="37"/>
      <c r="AD291" s="37" t="s">
        <v>31</v>
      </c>
      <c r="AE291" s="37"/>
      <c r="AH291" s="17"/>
      <c r="AI291" s="17" t="b">
        <f t="shared" si="15"/>
        <v>1</v>
      </c>
      <c r="AJ291" s="17" t="b">
        <f t="shared" si="16"/>
        <v>1</v>
      </c>
      <c r="AK291" s="17" t="str">
        <f t="shared" si="17"/>
        <v>EM00000000</v>
      </c>
    </row>
    <row r="292" spans="1:37" ht="13.15" customHeight="1" x14ac:dyDescent="0.25">
      <c r="A292" s="75" t="str">
        <f>_xlfn.XLOOKUP(C292,[1]Sheet2!$D:$D,[1]Sheet2!$C:$C)</f>
        <v>EM00000000</v>
      </c>
      <c r="B292" s="37">
        <v>1317</v>
      </c>
      <c r="C292" s="37" t="s">
        <v>729</v>
      </c>
      <c r="D292" s="37">
        <v>1</v>
      </c>
      <c r="E292" s="47" t="s">
        <v>205</v>
      </c>
      <c r="F292" s="48">
        <v>46266</v>
      </c>
      <c r="G292" s="48">
        <v>46295</v>
      </c>
      <c r="H292" s="37" t="s">
        <v>31</v>
      </c>
      <c r="I292" s="37" t="s">
        <v>729</v>
      </c>
      <c r="J292" s="37" t="s">
        <v>31</v>
      </c>
      <c r="K292" s="37" t="s">
        <v>926</v>
      </c>
      <c r="L292" s="37"/>
      <c r="M292" s="37"/>
      <c r="N292" s="37" t="s">
        <v>666</v>
      </c>
      <c r="O292" s="37" t="s">
        <v>561</v>
      </c>
      <c r="P292" s="51" t="s">
        <v>31</v>
      </c>
      <c r="Q292" s="37"/>
      <c r="R292" s="37" t="s">
        <v>31</v>
      </c>
      <c r="S292" s="37"/>
      <c r="T292" s="37" t="s">
        <v>204</v>
      </c>
      <c r="U292" s="37" t="s">
        <v>350</v>
      </c>
      <c r="V292" s="37"/>
      <c r="W292" s="37"/>
      <c r="X292" s="37" t="s">
        <v>31</v>
      </c>
      <c r="Y292" s="37"/>
      <c r="Z292" s="37" t="s">
        <v>31</v>
      </c>
      <c r="AA292" s="37"/>
      <c r="AB292" s="37" t="s">
        <v>31</v>
      </c>
      <c r="AC292" s="37"/>
      <c r="AD292" s="37" t="s">
        <v>31</v>
      </c>
      <c r="AE292" s="37"/>
      <c r="AH292" s="17"/>
      <c r="AI292" s="17" t="b">
        <f t="shared" si="15"/>
        <v>1</v>
      </c>
      <c r="AJ292" s="17" t="b">
        <f t="shared" si="16"/>
        <v>1</v>
      </c>
      <c r="AK292" s="17" t="str">
        <f t="shared" si="17"/>
        <v>EM00000000</v>
      </c>
    </row>
    <row r="293" spans="1:37" ht="13.15" customHeight="1" x14ac:dyDescent="0.25">
      <c r="A293" s="75" t="str">
        <f>_xlfn.XLOOKUP(C293,[1]Sheet2!$D:$D,[1]Sheet2!$C:$C)</f>
        <v>EM00016383</v>
      </c>
      <c r="B293" s="37">
        <v>1331</v>
      </c>
      <c r="C293" s="37" t="s">
        <v>530</v>
      </c>
      <c r="D293" s="37">
        <v>1</v>
      </c>
      <c r="E293" s="47" t="s">
        <v>205</v>
      </c>
      <c r="F293" s="48">
        <v>46266</v>
      </c>
      <c r="G293" s="48">
        <v>46295</v>
      </c>
      <c r="H293" s="37" t="s">
        <v>645</v>
      </c>
      <c r="I293" s="37" t="s">
        <v>530</v>
      </c>
      <c r="J293" s="37" t="s">
        <v>31</v>
      </c>
      <c r="K293" s="37" t="s">
        <v>926</v>
      </c>
      <c r="L293" s="37"/>
      <c r="M293" s="37"/>
      <c r="N293" s="37" t="s">
        <v>666</v>
      </c>
      <c r="O293" s="37" t="s">
        <v>561</v>
      </c>
      <c r="P293" s="52" t="s">
        <v>31</v>
      </c>
      <c r="Q293" s="37"/>
      <c r="R293" s="37" t="s">
        <v>31</v>
      </c>
      <c r="S293" s="37"/>
      <c r="T293" s="37" t="s">
        <v>204</v>
      </c>
      <c r="U293" s="37" t="s">
        <v>350</v>
      </c>
      <c r="V293" s="37"/>
      <c r="W293" s="37"/>
      <c r="X293" s="37" t="s">
        <v>31</v>
      </c>
      <c r="Y293" s="37"/>
      <c r="Z293" s="37" t="s">
        <v>31</v>
      </c>
      <c r="AA293" s="37"/>
      <c r="AB293" s="37" t="s">
        <v>31</v>
      </c>
      <c r="AC293" s="37"/>
      <c r="AD293" s="37" t="s">
        <v>31</v>
      </c>
      <c r="AE293" s="37"/>
      <c r="AH293" s="17"/>
      <c r="AI293" s="17" t="b">
        <f t="shared" si="15"/>
        <v>1</v>
      </c>
      <c r="AJ293" s="17" t="b">
        <f t="shared" si="16"/>
        <v>1</v>
      </c>
      <c r="AK293" s="17" t="str">
        <f t="shared" si="17"/>
        <v>EM00000000</v>
      </c>
    </row>
    <row r="294" spans="1:37" ht="13.15" customHeight="1" x14ac:dyDescent="0.25">
      <c r="A294" s="75" t="str">
        <f>_xlfn.XLOOKUP(C294,[1]Sheet2!$D:$D,[1]Sheet2!$C:$C)</f>
        <v>EM00016275</v>
      </c>
      <c r="B294" s="37">
        <v>1331</v>
      </c>
      <c r="C294" s="37" t="s">
        <v>531</v>
      </c>
      <c r="D294" s="37">
        <v>1</v>
      </c>
      <c r="E294" s="47" t="s">
        <v>205</v>
      </c>
      <c r="F294" s="48">
        <v>46266</v>
      </c>
      <c r="G294" s="48">
        <v>46295</v>
      </c>
      <c r="H294" s="37" t="s">
        <v>646</v>
      </c>
      <c r="I294" s="37" t="s">
        <v>531</v>
      </c>
      <c r="J294" s="37" t="s">
        <v>31</v>
      </c>
      <c r="K294" s="37" t="s">
        <v>926</v>
      </c>
      <c r="L294" s="37"/>
      <c r="M294" s="37"/>
      <c r="N294" s="37" t="s">
        <v>666</v>
      </c>
      <c r="O294" s="37" t="s">
        <v>561</v>
      </c>
      <c r="P294" s="37" t="s">
        <v>31</v>
      </c>
      <c r="Q294" s="37"/>
      <c r="R294" s="37" t="s">
        <v>31</v>
      </c>
      <c r="S294" s="37"/>
      <c r="T294" s="37" t="s">
        <v>204</v>
      </c>
      <c r="U294" s="37" t="s">
        <v>350</v>
      </c>
      <c r="V294" s="37"/>
      <c r="W294" s="37"/>
      <c r="X294" s="37" t="s">
        <v>31</v>
      </c>
      <c r="Y294" s="37"/>
      <c r="Z294" s="37" t="s">
        <v>31</v>
      </c>
      <c r="AA294" s="37"/>
      <c r="AB294" s="37" t="s">
        <v>31</v>
      </c>
      <c r="AC294" s="37"/>
      <c r="AD294" s="37" t="s">
        <v>31</v>
      </c>
      <c r="AE294" s="37"/>
      <c r="AH294" s="17"/>
      <c r="AI294" s="17" t="b">
        <f t="shared" si="15"/>
        <v>1</v>
      </c>
      <c r="AJ294" s="17" t="b">
        <f t="shared" si="16"/>
        <v>1</v>
      </c>
      <c r="AK294" s="17" t="str">
        <f t="shared" si="17"/>
        <v>EM00000000</v>
      </c>
    </row>
    <row r="295" spans="1:37" ht="13.15" customHeight="1" x14ac:dyDescent="0.25">
      <c r="A295" s="75" t="str">
        <f>_xlfn.XLOOKUP(C295,[1]Sheet2!$D:$D,[1]Sheet2!$C:$C)</f>
        <v>EM00000000</v>
      </c>
      <c r="B295" s="37">
        <v>1331</v>
      </c>
      <c r="C295" s="37" t="s">
        <v>730</v>
      </c>
      <c r="D295" s="37">
        <v>1</v>
      </c>
      <c r="E295" s="47" t="s">
        <v>205</v>
      </c>
      <c r="F295" s="48">
        <v>46266</v>
      </c>
      <c r="G295" s="48">
        <v>46295</v>
      </c>
      <c r="H295" s="37" t="s">
        <v>31</v>
      </c>
      <c r="I295" s="37" t="s">
        <v>730</v>
      </c>
      <c r="J295" s="37" t="s">
        <v>31</v>
      </c>
      <c r="K295" s="37" t="s">
        <v>926</v>
      </c>
      <c r="L295" s="37"/>
      <c r="M295" s="37"/>
      <c r="N295" s="37" t="s">
        <v>666</v>
      </c>
      <c r="O295" s="37" t="s">
        <v>561</v>
      </c>
      <c r="P295" s="37" t="s">
        <v>31</v>
      </c>
      <c r="Q295" s="37"/>
      <c r="R295" s="37" t="s">
        <v>31</v>
      </c>
      <c r="S295" s="37"/>
      <c r="T295" s="37" t="s">
        <v>204</v>
      </c>
      <c r="U295" s="37" t="s">
        <v>350</v>
      </c>
      <c r="V295" s="37"/>
      <c r="W295" s="37"/>
      <c r="X295" s="37" t="s">
        <v>31</v>
      </c>
      <c r="Y295" s="37"/>
      <c r="Z295" s="37" t="s">
        <v>31</v>
      </c>
      <c r="AA295" s="37"/>
      <c r="AB295" s="37" t="s">
        <v>31</v>
      </c>
      <c r="AC295" s="37"/>
      <c r="AD295" s="37" t="s">
        <v>31</v>
      </c>
      <c r="AE295" s="37"/>
      <c r="AH295" s="17"/>
      <c r="AI295" s="17" t="b">
        <f t="shared" si="15"/>
        <v>1</v>
      </c>
      <c r="AJ295" s="17" t="b">
        <f t="shared" si="16"/>
        <v>1</v>
      </c>
      <c r="AK295" s="17" t="str">
        <f t="shared" si="17"/>
        <v>EM00000000</v>
      </c>
    </row>
    <row r="296" spans="1:37" ht="13.15" customHeight="1" x14ac:dyDescent="0.25">
      <c r="A296" s="75" t="str">
        <f>_xlfn.XLOOKUP(C296,[1]Sheet2!$D:$D,[1]Sheet2!$C:$C)</f>
        <v>EM00000000</v>
      </c>
      <c r="B296" s="37">
        <v>1331</v>
      </c>
      <c r="C296" s="37" t="s">
        <v>926</v>
      </c>
      <c r="D296" s="37">
        <v>2</v>
      </c>
      <c r="E296" s="47" t="s">
        <v>205</v>
      </c>
      <c r="F296" s="48">
        <v>46266</v>
      </c>
      <c r="G296" s="48">
        <v>46295</v>
      </c>
      <c r="H296" s="37"/>
      <c r="I296" s="37"/>
      <c r="J296" s="37" t="s">
        <v>31</v>
      </c>
      <c r="K296" s="37" t="s">
        <v>926</v>
      </c>
      <c r="L296" s="37"/>
      <c r="M296" s="37"/>
      <c r="N296" s="37" t="s">
        <v>666</v>
      </c>
      <c r="O296" s="37" t="s">
        <v>561</v>
      </c>
      <c r="P296" s="51" t="s">
        <v>31</v>
      </c>
      <c r="Q296" s="37"/>
      <c r="R296" s="37" t="s">
        <v>31</v>
      </c>
      <c r="S296" s="37"/>
      <c r="T296" s="37" t="s">
        <v>204</v>
      </c>
      <c r="U296" s="37" t="s">
        <v>350</v>
      </c>
      <c r="V296" s="37"/>
      <c r="W296" s="37"/>
      <c r="X296" s="37" t="s">
        <v>31</v>
      </c>
      <c r="Y296" s="37"/>
      <c r="Z296" s="37" t="s">
        <v>31</v>
      </c>
      <c r="AA296" s="37"/>
      <c r="AB296" s="37" t="s">
        <v>31</v>
      </c>
      <c r="AC296" s="37"/>
      <c r="AD296" s="37" t="s">
        <v>31</v>
      </c>
      <c r="AE296" s="37"/>
      <c r="AH296" s="17"/>
      <c r="AI296" s="17" t="b">
        <f t="shared" si="15"/>
        <v>1</v>
      </c>
      <c r="AJ296" s="17" t="b">
        <f t="shared" si="16"/>
        <v>1</v>
      </c>
      <c r="AK296" s="17" t="str">
        <f t="shared" si="17"/>
        <v>EM00003990</v>
      </c>
    </row>
    <row r="297" spans="1:37" ht="13.15" customHeight="1" x14ac:dyDescent="0.25">
      <c r="A297" s="75" t="str">
        <f>_xlfn.XLOOKUP(C297,[1]Sheet2!$D:$D,[1]Sheet2!$C:$C)</f>
        <v>EM00016268</v>
      </c>
      <c r="B297" s="37">
        <v>1333</v>
      </c>
      <c r="C297" s="37" t="s">
        <v>537</v>
      </c>
      <c r="D297" s="37">
        <v>1</v>
      </c>
      <c r="E297" s="47" t="s">
        <v>205</v>
      </c>
      <c r="F297" s="48">
        <v>46266</v>
      </c>
      <c r="G297" s="48">
        <v>46295</v>
      </c>
      <c r="H297" s="37" t="s">
        <v>650</v>
      </c>
      <c r="I297" s="37" t="s">
        <v>537</v>
      </c>
      <c r="J297" s="37" t="s">
        <v>31</v>
      </c>
      <c r="K297" s="37" t="s">
        <v>542</v>
      </c>
      <c r="L297" s="37"/>
      <c r="M297" s="37"/>
      <c r="N297" s="37" t="s">
        <v>666</v>
      </c>
      <c r="O297" s="37" t="s">
        <v>561</v>
      </c>
      <c r="P297" s="51" t="s">
        <v>31</v>
      </c>
      <c r="Q297" s="37"/>
      <c r="R297" s="37" t="s">
        <v>31</v>
      </c>
      <c r="S297" s="37"/>
      <c r="T297" s="37" t="s">
        <v>204</v>
      </c>
      <c r="U297" s="37" t="s">
        <v>350</v>
      </c>
      <c r="V297" s="37"/>
      <c r="W297" s="37"/>
      <c r="X297" s="37" t="s">
        <v>31</v>
      </c>
      <c r="Y297" s="37"/>
      <c r="Z297" s="37" t="s">
        <v>31</v>
      </c>
      <c r="AA297" s="37"/>
      <c r="AB297" s="37" t="s">
        <v>31</v>
      </c>
      <c r="AC297" s="37"/>
      <c r="AD297" s="37" t="s">
        <v>31</v>
      </c>
      <c r="AE297" s="37"/>
      <c r="AH297" s="17"/>
      <c r="AI297" s="17" t="b">
        <f t="shared" si="15"/>
        <v>1</v>
      </c>
      <c r="AJ297" s="17" t="b">
        <f t="shared" si="16"/>
        <v>1</v>
      </c>
      <c r="AK297" s="17" t="str">
        <f t="shared" si="17"/>
        <v>EM00000000</v>
      </c>
    </row>
    <row r="298" spans="1:37" ht="13.15" customHeight="1" x14ac:dyDescent="0.25">
      <c r="A298" s="75" t="str">
        <f>_xlfn.XLOOKUP(C298,[1]Sheet2!$D:$D,[1]Sheet2!$C:$C)</f>
        <v>EM00016265</v>
      </c>
      <c r="B298" s="37">
        <v>1333</v>
      </c>
      <c r="C298" s="37" t="s">
        <v>538</v>
      </c>
      <c r="D298" s="37">
        <v>1</v>
      </c>
      <c r="E298" s="47" t="s">
        <v>205</v>
      </c>
      <c r="F298" s="48">
        <v>46266</v>
      </c>
      <c r="G298" s="48">
        <v>46295</v>
      </c>
      <c r="H298" s="37" t="s">
        <v>651</v>
      </c>
      <c r="I298" s="37" t="s">
        <v>538</v>
      </c>
      <c r="J298" s="37" t="s">
        <v>31</v>
      </c>
      <c r="K298" s="37" t="s">
        <v>542</v>
      </c>
      <c r="L298" s="37"/>
      <c r="M298" s="37"/>
      <c r="N298" s="37" t="s">
        <v>666</v>
      </c>
      <c r="O298" s="37" t="s">
        <v>561</v>
      </c>
      <c r="P298" s="52" t="s">
        <v>31</v>
      </c>
      <c r="Q298" s="37"/>
      <c r="R298" s="37" t="s">
        <v>31</v>
      </c>
      <c r="S298" s="37"/>
      <c r="T298" s="37" t="s">
        <v>204</v>
      </c>
      <c r="U298" s="37" t="s">
        <v>350</v>
      </c>
      <c r="V298" s="37"/>
      <c r="W298" s="37"/>
      <c r="X298" s="37" t="s">
        <v>31</v>
      </c>
      <c r="Y298" s="37"/>
      <c r="Z298" s="37" t="s">
        <v>31</v>
      </c>
      <c r="AA298" s="37"/>
      <c r="AB298" s="37" t="s">
        <v>31</v>
      </c>
      <c r="AC298" s="37"/>
      <c r="AD298" s="37" t="s">
        <v>31</v>
      </c>
      <c r="AE298" s="37"/>
      <c r="AH298" s="17"/>
      <c r="AI298" s="17" t="b">
        <f t="shared" si="15"/>
        <v>1</v>
      </c>
      <c r="AJ298" s="17" t="b">
        <f t="shared" si="16"/>
        <v>1</v>
      </c>
      <c r="AK298" s="17" t="str">
        <f t="shared" si="17"/>
        <v>EM00000000</v>
      </c>
    </row>
    <row r="299" spans="1:37" ht="13.15" customHeight="1" x14ac:dyDescent="0.25">
      <c r="A299" s="75" t="str">
        <f>_xlfn.XLOOKUP(C299,[1]Sheet2!$D:$D,[1]Sheet2!$C:$C)</f>
        <v>EM00016264</v>
      </c>
      <c r="B299" s="37">
        <v>1333</v>
      </c>
      <c r="C299" s="37" t="s">
        <v>539</v>
      </c>
      <c r="D299" s="37">
        <v>1</v>
      </c>
      <c r="E299" s="47" t="s">
        <v>205</v>
      </c>
      <c r="F299" s="48">
        <v>46266</v>
      </c>
      <c r="G299" s="48">
        <v>46295</v>
      </c>
      <c r="H299" s="37" t="s">
        <v>652</v>
      </c>
      <c r="I299" s="37" t="s">
        <v>539</v>
      </c>
      <c r="J299" s="37" t="s">
        <v>31</v>
      </c>
      <c r="K299" s="37" t="s">
        <v>542</v>
      </c>
      <c r="L299" s="37"/>
      <c r="M299" s="37"/>
      <c r="N299" s="37" t="s">
        <v>666</v>
      </c>
      <c r="O299" s="37" t="s">
        <v>561</v>
      </c>
      <c r="P299" s="37" t="s">
        <v>31</v>
      </c>
      <c r="Q299" s="37"/>
      <c r="R299" s="37" t="s">
        <v>31</v>
      </c>
      <c r="S299" s="37"/>
      <c r="T299" s="37" t="s">
        <v>204</v>
      </c>
      <c r="U299" s="37" t="s">
        <v>350</v>
      </c>
      <c r="V299" s="37"/>
      <c r="W299" s="37"/>
      <c r="X299" s="37" t="s">
        <v>31</v>
      </c>
      <c r="Y299" s="37"/>
      <c r="Z299" s="37" t="s">
        <v>31</v>
      </c>
      <c r="AA299" s="37"/>
      <c r="AB299" s="37" t="s">
        <v>31</v>
      </c>
      <c r="AC299" s="37"/>
      <c r="AD299" s="37" t="s">
        <v>31</v>
      </c>
      <c r="AE299" s="37"/>
      <c r="AH299" s="17"/>
      <c r="AI299" s="17" t="b">
        <f t="shared" si="15"/>
        <v>1</v>
      </c>
      <c r="AJ299" s="17" t="b">
        <f t="shared" si="16"/>
        <v>1</v>
      </c>
      <c r="AK299" s="17" t="str">
        <f t="shared" si="17"/>
        <v>EM00000000</v>
      </c>
    </row>
    <row r="300" spans="1:37" ht="13.15" customHeight="1" x14ac:dyDescent="0.25">
      <c r="A300" s="75" t="str">
        <f>_xlfn.XLOOKUP(C300,[1]Sheet2!$D:$D,[1]Sheet2!$C:$C)</f>
        <v>EM00016396</v>
      </c>
      <c r="B300" s="37">
        <v>1333</v>
      </c>
      <c r="C300" s="37" t="s">
        <v>540</v>
      </c>
      <c r="D300" s="37">
        <v>1</v>
      </c>
      <c r="E300" s="47" t="s">
        <v>205</v>
      </c>
      <c r="F300" s="48">
        <v>46266</v>
      </c>
      <c r="G300" s="48">
        <v>46295</v>
      </c>
      <c r="H300" s="37" t="s">
        <v>653</v>
      </c>
      <c r="I300" s="37" t="s">
        <v>540</v>
      </c>
      <c r="J300" s="37" t="s">
        <v>31</v>
      </c>
      <c r="K300" s="37" t="s">
        <v>542</v>
      </c>
      <c r="L300" s="37"/>
      <c r="M300" s="37"/>
      <c r="N300" s="37" t="s">
        <v>666</v>
      </c>
      <c r="O300" s="37" t="s">
        <v>561</v>
      </c>
      <c r="P300" s="37" t="s">
        <v>31</v>
      </c>
      <c r="Q300" s="37"/>
      <c r="R300" s="37" t="s">
        <v>31</v>
      </c>
      <c r="S300" s="37"/>
      <c r="T300" s="37" t="s">
        <v>204</v>
      </c>
      <c r="U300" s="37" t="s">
        <v>350</v>
      </c>
      <c r="V300" s="37"/>
      <c r="W300" s="37"/>
      <c r="X300" s="37" t="s">
        <v>31</v>
      </c>
      <c r="Y300" s="37"/>
      <c r="Z300" s="37" t="s">
        <v>31</v>
      </c>
      <c r="AA300" s="37"/>
      <c r="AB300" s="37" t="s">
        <v>31</v>
      </c>
      <c r="AC300" s="37"/>
      <c r="AD300" s="37" t="s">
        <v>31</v>
      </c>
      <c r="AE300" s="37"/>
      <c r="AH300" s="17"/>
      <c r="AI300" s="17" t="b">
        <f t="shared" si="15"/>
        <v>1</v>
      </c>
      <c r="AJ300" s="17" t="b">
        <f t="shared" si="16"/>
        <v>1</v>
      </c>
      <c r="AK300" s="17" t="str">
        <f t="shared" si="17"/>
        <v>EM00000000</v>
      </c>
    </row>
    <row r="301" spans="1:37" ht="13.15" customHeight="1" x14ac:dyDescent="0.25">
      <c r="A301" s="75" t="str">
        <f>_xlfn.XLOOKUP(C301,[1]Sheet2!$D:$D,[1]Sheet2!$C:$C)</f>
        <v>EM00016471</v>
      </c>
      <c r="B301" s="37">
        <v>1333</v>
      </c>
      <c r="C301" s="37" t="s">
        <v>541</v>
      </c>
      <c r="D301" s="37">
        <v>1</v>
      </c>
      <c r="E301" s="47" t="s">
        <v>205</v>
      </c>
      <c r="F301" s="48">
        <v>46266</v>
      </c>
      <c r="G301" s="48">
        <v>46295</v>
      </c>
      <c r="H301" s="37" t="s">
        <v>731</v>
      </c>
      <c r="I301" s="37" t="s">
        <v>541</v>
      </c>
      <c r="J301" s="37" t="s">
        <v>31</v>
      </c>
      <c r="K301" s="37" t="s">
        <v>542</v>
      </c>
      <c r="L301" s="37"/>
      <c r="M301" s="37"/>
      <c r="N301" s="37" t="s">
        <v>666</v>
      </c>
      <c r="O301" s="37" t="s">
        <v>561</v>
      </c>
      <c r="P301" s="51" t="s">
        <v>31</v>
      </c>
      <c r="Q301" s="37"/>
      <c r="R301" s="37" t="s">
        <v>31</v>
      </c>
      <c r="S301" s="37"/>
      <c r="T301" s="37" t="s">
        <v>204</v>
      </c>
      <c r="U301" s="37" t="s">
        <v>350</v>
      </c>
      <c r="V301" s="37"/>
      <c r="W301" s="37"/>
      <c r="X301" s="37" t="s">
        <v>31</v>
      </c>
      <c r="Y301" s="37"/>
      <c r="Z301" s="37" t="s">
        <v>31</v>
      </c>
      <c r="AA301" s="37"/>
      <c r="AB301" s="37" t="s">
        <v>31</v>
      </c>
      <c r="AC301" s="37"/>
      <c r="AD301" s="37" t="s">
        <v>31</v>
      </c>
      <c r="AE301" s="37"/>
      <c r="AH301" s="17"/>
      <c r="AI301" s="17" t="b">
        <f t="shared" si="15"/>
        <v>1</v>
      </c>
      <c r="AJ301" s="17" t="b">
        <f t="shared" si="16"/>
        <v>1</v>
      </c>
      <c r="AK301" s="17" t="str">
        <f t="shared" si="17"/>
        <v>EM00000000</v>
      </c>
    </row>
    <row r="302" spans="1:37" ht="13.15" customHeight="1" x14ac:dyDescent="0.25">
      <c r="A302" s="75" t="str">
        <f>_xlfn.XLOOKUP(C302,[1]Sheet2!$D:$D,[1]Sheet2!$C:$C)</f>
        <v>EM00000000</v>
      </c>
      <c r="B302" s="37">
        <v>1333</v>
      </c>
      <c r="C302" s="79" t="s">
        <v>542</v>
      </c>
      <c r="D302" s="37">
        <v>2</v>
      </c>
      <c r="E302" s="47" t="s">
        <v>205</v>
      </c>
      <c r="F302" s="48">
        <v>46266</v>
      </c>
      <c r="G302" s="48">
        <v>46295</v>
      </c>
      <c r="H302" s="37"/>
      <c r="I302" s="37"/>
      <c r="J302" s="37" t="s">
        <v>928</v>
      </c>
      <c r="K302" s="37" t="s">
        <v>542</v>
      </c>
      <c r="L302" s="37"/>
      <c r="M302" s="37"/>
      <c r="N302" s="37" t="s">
        <v>666</v>
      </c>
      <c r="O302" s="37" t="s">
        <v>561</v>
      </c>
      <c r="P302" s="51" t="s">
        <v>31</v>
      </c>
      <c r="Q302" s="37"/>
      <c r="R302" s="37" t="s">
        <v>31</v>
      </c>
      <c r="S302" s="37"/>
      <c r="T302" s="37" t="s">
        <v>204</v>
      </c>
      <c r="U302" s="37" t="s">
        <v>350</v>
      </c>
      <c r="V302" s="37"/>
      <c r="W302" s="37"/>
      <c r="X302" s="37" t="s">
        <v>31</v>
      </c>
      <c r="Y302" s="37"/>
      <c r="Z302" s="37" t="s">
        <v>31</v>
      </c>
      <c r="AA302" s="37"/>
      <c r="AB302" s="37" t="s">
        <v>31</v>
      </c>
      <c r="AC302" s="37"/>
      <c r="AD302" s="37" t="s">
        <v>31</v>
      </c>
      <c r="AE302" s="37"/>
      <c r="AH302" s="17"/>
      <c r="AI302" s="17" t="b">
        <f t="shared" si="15"/>
        <v>0</v>
      </c>
      <c r="AJ302" s="17" t="b">
        <f t="shared" si="16"/>
        <v>1</v>
      </c>
      <c r="AK302" s="17" t="str">
        <f t="shared" si="17"/>
        <v>EM00003990</v>
      </c>
    </row>
    <row r="303" spans="1:37" ht="13.15" customHeight="1" x14ac:dyDescent="0.25">
      <c r="A303" s="75" t="str">
        <f>_xlfn.XLOOKUP(C303,[1]Sheet2!$D:$D,[1]Sheet2!$C:$C)</f>
        <v>EM00016473</v>
      </c>
      <c r="B303" s="37">
        <v>1333</v>
      </c>
      <c r="C303" s="37" t="s">
        <v>543</v>
      </c>
      <c r="D303" s="37">
        <v>1</v>
      </c>
      <c r="E303" s="47" t="s">
        <v>205</v>
      </c>
      <c r="F303" s="48">
        <v>46266</v>
      </c>
      <c r="G303" s="48">
        <v>46295</v>
      </c>
      <c r="H303" s="37" t="s">
        <v>732</v>
      </c>
      <c r="I303" s="37" t="s">
        <v>543</v>
      </c>
      <c r="J303" s="37" t="s">
        <v>657</v>
      </c>
      <c r="K303" s="37" t="s">
        <v>548</v>
      </c>
      <c r="L303" s="37"/>
      <c r="M303" s="37"/>
      <c r="N303" s="37" t="s">
        <v>666</v>
      </c>
      <c r="O303" s="37" t="s">
        <v>561</v>
      </c>
      <c r="P303" s="52" t="s">
        <v>31</v>
      </c>
      <c r="Q303" s="37"/>
      <c r="R303" s="37" t="s">
        <v>31</v>
      </c>
      <c r="S303" s="37"/>
      <c r="T303" s="37" t="s">
        <v>204</v>
      </c>
      <c r="U303" s="37" t="s">
        <v>350</v>
      </c>
      <c r="V303" s="37"/>
      <c r="W303" s="37"/>
      <c r="X303" s="37" t="s">
        <v>31</v>
      </c>
      <c r="Y303" s="37"/>
      <c r="Z303" s="37" t="s">
        <v>31</v>
      </c>
      <c r="AA303" s="37"/>
      <c r="AB303" s="37" t="s">
        <v>31</v>
      </c>
      <c r="AC303" s="37"/>
      <c r="AD303" s="37" t="s">
        <v>31</v>
      </c>
      <c r="AE303" s="37"/>
      <c r="AH303" s="17"/>
      <c r="AI303" s="17" t="b">
        <f t="shared" si="15"/>
        <v>1</v>
      </c>
      <c r="AJ303" s="17" t="b">
        <f t="shared" si="16"/>
        <v>1</v>
      </c>
      <c r="AK303" s="17" t="str">
        <f t="shared" si="17"/>
        <v>EM00016182</v>
      </c>
    </row>
    <row r="304" spans="1:37" ht="13.15" customHeight="1" x14ac:dyDescent="0.25">
      <c r="A304" s="75" t="str">
        <f>_xlfn.XLOOKUP(C304,[1]Sheet2!$D:$D,[1]Sheet2!$C:$C)</f>
        <v>EM00016263</v>
      </c>
      <c r="B304" s="37">
        <v>1316</v>
      </c>
      <c r="C304" s="37" t="s">
        <v>544</v>
      </c>
      <c r="D304" s="37">
        <v>1</v>
      </c>
      <c r="E304" s="47" t="s">
        <v>205</v>
      </c>
      <c r="F304" s="48">
        <v>46266</v>
      </c>
      <c r="G304" s="48">
        <v>46295</v>
      </c>
      <c r="H304" s="37" t="s">
        <v>654</v>
      </c>
      <c r="I304" s="37" t="s">
        <v>544</v>
      </c>
      <c r="J304" s="37" t="s">
        <v>657</v>
      </c>
      <c r="K304" s="37" t="s">
        <v>548</v>
      </c>
      <c r="L304" s="37"/>
      <c r="M304" s="37"/>
      <c r="N304" s="37" t="s">
        <v>666</v>
      </c>
      <c r="O304" s="37" t="s">
        <v>561</v>
      </c>
      <c r="P304" s="37" t="s">
        <v>31</v>
      </c>
      <c r="Q304" s="37"/>
      <c r="R304" s="37" t="s">
        <v>31</v>
      </c>
      <c r="S304" s="37"/>
      <c r="T304" s="37" t="s">
        <v>204</v>
      </c>
      <c r="U304" s="37" t="s">
        <v>350</v>
      </c>
      <c r="V304" s="37"/>
      <c r="W304" s="37"/>
      <c r="X304" s="37" t="s">
        <v>31</v>
      </c>
      <c r="Y304" s="37"/>
      <c r="Z304" s="37" t="s">
        <v>31</v>
      </c>
      <c r="AA304" s="37"/>
      <c r="AB304" s="37" t="s">
        <v>31</v>
      </c>
      <c r="AC304" s="37"/>
      <c r="AD304" s="37" t="s">
        <v>31</v>
      </c>
      <c r="AE304" s="37"/>
      <c r="AH304" s="17"/>
      <c r="AI304" s="17" t="b">
        <f t="shared" si="15"/>
        <v>1</v>
      </c>
      <c r="AJ304" s="17" t="b">
        <f t="shared" si="16"/>
        <v>1</v>
      </c>
      <c r="AK304" s="17" t="str">
        <f t="shared" si="17"/>
        <v>EM00016182</v>
      </c>
    </row>
    <row r="305" spans="1:37" ht="13.15" customHeight="1" x14ac:dyDescent="0.25">
      <c r="A305" s="75" t="str">
        <f>_xlfn.XLOOKUP(C305,[1]Sheet2!$D:$D,[1]Sheet2!$C:$C)</f>
        <v>EM00016400</v>
      </c>
      <c r="B305" s="37">
        <v>1316</v>
      </c>
      <c r="C305" s="37" t="s">
        <v>545</v>
      </c>
      <c r="D305" s="37">
        <v>1</v>
      </c>
      <c r="E305" s="47" t="s">
        <v>205</v>
      </c>
      <c r="F305" s="48">
        <v>46266</v>
      </c>
      <c r="G305" s="48">
        <v>46295</v>
      </c>
      <c r="H305" s="37" t="s">
        <v>655</v>
      </c>
      <c r="I305" s="37" t="s">
        <v>545</v>
      </c>
      <c r="J305" s="37" t="s">
        <v>657</v>
      </c>
      <c r="K305" s="37" t="s">
        <v>548</v>
      </c>
      <c r="L305" s="37"/>
      <c r="M305" s="37"/>
      <c r="N305" s="37" t="s">
        <v>666</v>
      </c>
      <c r="O305" s="37" t="s">
        <v>561</v>
      </c>
      <c r="P305" s="37" t="s">
        <v>31</v>
      </c>
      <c r="Q305" s="37"/>
      <c r="R305" s="37" t="s">
        <v>31</v>
      </c>
      <c r="S305" s="37"/>
      <c r="T305" s="37" t="s">
        <v>204</v>
      </c>
      <c r="U305" s="37" t="s">
        <v>350</v>
      </c>
      <c r="V305" s="37"/>
      <c r="W305" s="37"/>
      <c r="X305" s="37" t="s">
        <v>31</v>
      </c>
      <c r="Y305" s="37"/>
      <c r="Z305" s="37" t="s">
        <v>31</v>
      </c>
      <c r="AA305" s="37"/>
      <c r="AB305" s="37" t="s">
        <v>31</v>
      </c>
      <c r="AC305" s="37"/>
      <c r="AD305" s="37" t="s">
        <v>31</v>
      </c>
      <c r="AE305" s="37"/>
      <c r="AH305" s="17"/>
      <c r="AI305" s="17" t="b">
        <f t="shared" si="15"/>
        <v>1</v>
      </c>
      <c r="AJ305" s="17" t="b">
        <f t="shared" si="16"/>
        <v>1</v>
      </c>
      <c r="AK305" s="17" t="str">
        <f t="shared" si="17"/>
        <v>EM00016182</v>
      </c>
    </row>
    <row r="306" spans="1:37" ht="13.15" customHeight="1" x14ac:dyDescent="0.25">
      <c r="A306" s="75" t="str">
        <f>_xlfn.XLOOKUP(C306,[1]Sheet2!$D:$D,[1]Sheet2!$C:$C)</f>
        <v>EM00000000</v>
      </c>
      <c r="B306" s="37">
        <v>1316</v>
      </c>
      <c r="C306" s="37" t="s">
        <v>546</v>
      </c>
      <c r="D306" s="37">
        <v>1</v>
      </c>
      <c r="E306" s="47" t="s">
        <v>205</v>
      </c>
      <c r="F306" s="48">
        <v>46266</v>
      </c>
      <c r="G306" s="48">
        <v>46295</v>
      </c>
      <c r="H306" s="37" t="s">
        <v>31</v>
      </c>
      <c r="I306" s="37" t="s">
        <v>546</v>
      </c>
      <c r="J306" s="37" t="s">
        <v>657</v>
      </c>
      <c r="K306" s="37" t="s">
        <v>548</v>
      </c>
      <c r="L306" s="37"/>
      <c r="M306" s="37"/>
      <c r="N306" s="37" t="s">
        <v>666</v>
      </c>
      <c r="O306" s="37" t="s">
        <v>561</v>
      </c>
      <c r="P306" s="51" t="s">
        <v>31</v>
      </c>
      <c r="Q306" s="37"/>
      <c r="R306" s="37" t="s">
        <v>31</v>
      </c>
      <c r="S306" s="37"/>
      <c r="T306" s="37" t="s">
        <v>204</v>
      </c>
      <c r="U306" s="37" t="s">
        <v>350</v>
      </c>
      <c r="V306" s="37"/>
      <c r="W306" s="37"/>
      <c r="X306" s="37" t="s">
        <v>31</v>
      </c>
      <c r="Y306" s="37"/>
      <c r="Z306" s="37" t="s">
        <v>31</v>
      </c>
      <c r="AA306" s="37"/>
      <c r="AB306" s="37" t="s">
        <v>31</v>
      </c>
      <c r="AC306" s="37"/>
      <c r="AD306" s="37" t="s">
        <v>31</v>
      </c>
      <c r="AE306" s="37"/>
      <c r="AH306" s="17"/>
      <c r="AI306" s="17" t="b">
        <f t="shared" si="15"/>
        <v>1</v>
      </c>
      <c r="AJ306" s="17" t="b">
        <f t="shared" si="16"/>
        <v>1</v>
      </c>
      <c r="AK306" s="17" t="str">
        <f t="shared" si="17"/>
        <v>EM00016182</v>
      </c>
    </row>
    <row r="307" spans="1:37" ht="13.15" customHeight="1" x14ac:dyDescent="0.25">
      <c r="A307" s="75" t="str">
        <f>_xlfn.XLOOKUP(C307,[1]Sheet2!$D:$D,[1]Sheet2!$C:$C)</f>
        <v>EM00016020</v>
      </c>
      <c r="B307" s="37">
        <v>1316</v>
      </c>
      <c r="C307" s="37" t="s">
        <v>547</v>
      </c>
      <c r="D307" s="37">
        <v>1</v>
      </c>
      <c r="E307" s="47" t="s">
        <v>205</v>
      </c>
      <c r="F307" s="48">
        <v>46266</v>
      </c>
      <c r="G307" s="48">
        <v>46295</v>
      </c>
      <c r="H307" s="37" t="s">
        <v>656</v>
      </c>
      <c r="I307" s="37" t="s">
        <v>547</v>
      </c>
      <c r="J307" s="37" t="s">
        <v>657</v>
      </c>
      <c r="K307" s="37" t="s">
        <v>548</v>
      </c>
      <c r="L307" s="37"/>
      <c r="M307" s="37"/>
      <c r="N307" s="37" t="s">
        <v>666</v>
      </c>
      <c r="O307" s="37" t="s">
        <v>561</v>
      </c>
      <c r="P307" s="51" t="s">
        <v>31</v>
      </c>
      <c r="Q307" s="37"/>
      <c r="R307" s="37" t="s">
        <v>31</v>
      </c>
      <c r="S307" s="37"/>
      <c r="T307" s="37" t="s">
        <v>204</v>
      </c>
      <c r="U307" s="37" t="s">
        <v>350</v>
      </c>
      <c r="V307" s="37"/>
      <c r="W307" s="37"/>
      <c r="X307" s="37" t="s">
        <v>31</v>
      </c>
      <c r="Y307" s="37"/>
      <c r="Z307" s="37" t="s">
        <v>31</v>
      </c>
      <c r="AA307" s="37"/>
      <c r="AB307" s="37" t="s">
        <v>31</v>
      </c>
      <c r="AC307" s="37"/>
      <c r="AD307" s="37" t="s">
        <v>31</v>
      </c>
      <c r="AE307" s="37"/>
      <c r="AH307" s="17"/>
      <c r="AI307" s="17" t="b">
        <f t="shared" si="15"/>
        <v>1</v>
      </c>
      <c r="AJ307" s="17" t="b">
        <f t="shared" si="16"/>
        <v>1</v>
      </c>
      <c r="AK307" s="17" t="str">
        <f t="shared" si="17"/>
        <v>EM00016182</v>
      </c>
    </row>
    <row r="308" spans="1:37" ht="13.15" customHeight="1" x14ac:dyDescent="0.25">
      <c r="A308" s="75" t="str">
        <f>_xlfn.XLOOKUP(C308,[1]Sheet2!$D:$D,[1]Sheet2!$C:$C)</f>
        <v>EM00016182</v>
      </c>
      <c r="B308" s="37">
        <v>1333</v>
      </c>
      <c r="C308" s="37" t="s">
        <v>548</v>
      </c>
      <c r="D308" s="37">
        <v>2</v>
      </c>
      <c r="E308" s="47" t="s">
        <v>205</v>
      </c>
      <c r="F308" s="48">
        <v>46266</v>
      </c>
      <c r="G308" s="48">
        <v>46295</v>
      </c>
      <c r="H308" s="37"/>
      <c r="I308" s="37"/>
      <c r="J308" s="37" t="s">
        <v>657</v>
      </c>
      <c r="K308" s="37" t="s">
        <v>548</v>
      </c>
      <c r="L308" s="37"/>
      <c r="M308" s="37"/>
      <c r="N308" s="37" t="s">
        <v>666</v>
      </c>
      <c r="O308" s="37" t="s">
        <v>561</v>
      </c>
      <c r="P308" s="52" t="s">
        <v>31</v>
      </c>
      <c r="Q308" s="37"/>
      <c r="R308" s="37" t="s">
        <v>31</v>
      </c>
      <c r="S308" s="37"/>
      <c r="T308" s="37" t="s">
        <v>204</v>
      </c>
      <c r="U308" s="37" t="s">
        <v>350</v>
      </c>
      <c r="V308" s="37"/>
      <c r="W308" s="37"/>
      <c r="X308" s="37" t="s">
        <v>31</v>
      </c>
      <c r="Y308" s="37"/>
      <c r="Z308" s="37" t="s">
        <v>31</v>
      </c>
      <c r="AA308" s="37"/>
      <c r="AB308" s="37" t="s">
        <v>31</v>
      </c>
      <c r="AC308" s="37"/>
      <c r="AD308" s="37" t="s">
        <v>31</v>
      </c>
      <c r="AE308" s="37"/>
      <c r="AH308" s="17"/>
      <c r="AI308" s="17" t="b">
        <f t="shared" si="15"/>
        <v>1</v>
      </c>
      <c r="AJ308" s="17" t="b">
        <f t="shared" si="16"/>
        <v>1</v>
      </c>
      <c r="AK308" s="17" t="str">
        <f t="shared" si="17"/>
        <v>EM00003990</v>
      </c>
    </row>
    <row r="309" spans="1:37" ht="13.15" customHeight="1" x14ac:dyDescent="0.25">
      <c r="A309" s="75" t="str">
        <f>_xlfn.XLOOKUP(C309,[1]Sheet2!$D:$D,[1]Sheet2!$C:$C)</f>
        <v>EM00016182</v>
      </c>
      <c r="B309" s="37">
        <v>1316</v>
      </c>
      <c r="C309" s="37" t="s">
        <v>548</v>
      </c>
      <c r="D309" s="37">
        <v>2</v>
      </c>
      <c r="E309" s="47" t="s">
        <v>205</v>
      </c>
      <c r="F309" s="48">
        <v>46266</v>
      </c>
      <c r="G309" s="48">
        <v>46295</v>
      </c>
      <c r="H309" s="37"/>
      <c r="I309" s="37"/>
      <c r="J309" s="37" t="s">
        <v>657</v>
      </c>
      <c r="K309" s="37" t="s">
        <v>548</v>
      </c>
      <c r="L309" s="37"/>
      <c r="M309" s="37"/>
      <c r="N309" s="37" t="s">
        <v>666</v>
      </c>
      <c r="O309" s="37" t="s">
        <v>561</v>
      </c>
      <c r="P309" s="37" t="s">
        <v>31</v>
      </c>
      <c r="Q309" s="37"/>
      <c r="R309" s="37" t="s">
        <v>31</v>
      </c>
      <c r="S309" s="37"/>
      <c r="T309" s="37" t="s">
        <v>204</v>
      </c>
      <c r="U309" s="37" t="s">
        <v>350</v>
      </c>
      <c r="V309" s="37"/>
      <c r="W309" s="37"/>
      <c r="X309" s="37" t="s">
        <v>31</v>
      </c>
      <c r="Y309" s="37"/>
      <c r="Z309" s="37" t="s">
        <v>31</v>
      </c>
      <c r="AA309" s="37"/>
      <c r="AB309" s="37" t="s">
        <v>31</v>
      </c>
      <c r="AC309" s="37"/>
      <c r="AD309" s="37" t="s">
        <v>31</v>
      </c>
      <c r="AE309" s="37"/>
      <c r="AH309" s="17"/>
      <c r="AI309" s="17" t="b">
        <f t="shared" si="15"/>
        <v>1</v>
      </c>
      <c r="AJ309" s="17" t="b">
        <f t="shared" si="16"/>
        <v>1</v>
      </c>
      <c r="AK309" s="17" t="str">
        <f t="shared" si="17"/>
        <v>EM00003990</v>
      </c>
    </row>
    <row r="310" spans="1:37" ht="13.15" customHeight="1" x14ac:dyDescent="0.25">
      <c r="A310" s="75" t="str">
        <f>_xlfn.XLOOKUP(C310,[1]Sheet2!$D:$D,[1]Sheet2!$C:$C)</f>
        <v>EM00000000</v>
      </c>
      <c r="B310" s="37">
        <v>1316</v>
      </c>
      <c r="C310" s="37" t="s">
        <v>549</v>
      </c>
      <c r="D310" s="37">
        <v>1</v>
      </c>
      <c r="E310" s="47" t="s">
        <v>205</v>
      </c>
      <c r="F310" s="48">
        <v>46266</v>
      </c>
      <c r="G310" s="48">
        <v>46295</v>
      </c>
      <c r="H310" s="37" t="s">
        <v>31</v>
      </c>
      <c r="I310" s="37" t="s">
        <v>549</v>
      </c>
      <c r="J310" s="37" t="s">
        <v>31</v>
      </c>
      <c r="K310" s="37" t="s">
        <v>554</v>
      </c>
      <c r="L310" s="37"/>
      <c r="M310" s="37"/>
      <c r="N310" s="37" t="s">
        <v>666</v>
      </c>
      <c r="O310" s="37" t="s">
        <v>561</v>
      </c>
      <c r="P310" s="37" t="s">
        <v>31</v>
      </c>
      <c r="Q310" s="37"/>
      <c r="R310" s="37" t="s">
        <v>31</v>
      </c>
      <c r="S310" s="37"/>
      <c r="T310" s="37" t="s">
        <v>204</v>
      </c>
      <c r="U310" s="37" t="s">
        <v>350</v>
      </c>
      <c r="V310" s="37"/>
      <c r="W310" s="37"/>
      <c r="X310" s="37" t="s">
        <v>31</v>
      </c>
      <c r="Y310" s="37"/>
      <c r="Z310" s="37" t="s">
        <v>31</v>
      </c>
      <c r="AA310" s="37"/>
      <c r="AB310" s="37" t="s">
        <v>31</v>
      </c>
      <c r="AC310" s="37"/>
      <c r="AD310" s="37" t="s">
        <v>31</v>
      </c>
      <c r="AE310" s="37"/>
      <c r="AH310" s="17"/>
      <c r="AI310" s="17" t="b">
        <f t="shared" si="15"/>
        <v>1</v>
      </c>
      <c r="AJ310" s="17" t="b">
        <f t="shared" si="16"/>
        <v>1</v>
      </c>
      <c r="AK310" s="17" t="str">
        <f t="shared" si="17"/>
        <v>EM00000000</v>
      </c>
    </row>
    <row r="311" spans="1:37" ht="13.15" customHeight="1" x14ac:dyDescent="0.25">
      <c r="A311" s="75" t="str">
        <f>_xlfn.XLOOKUP(C311,[1]Sheet2!$D:$D,[1]Sheet2!$C:$C)</f>
        <v>EM00016012</v>
      </c>
      <c r="B311" s="37">
        <v>1316</v>
      </c>
      <c r="C311" s="37" t="s">
        <v>550</v>
      </c>
      <c r="D311" s="37">
        <v>1</v>
      </c>
      <c r="E311" s="47" t="s">
        <v>205</v>
      </c>
      <c r="F311" s="48">
        <v>46266</v>
      </c>
      <c r="G311" s="48">
        <v>46295</v>
      </c>
      <c r="H311" s="37" t="s">
        <v>658</v>
      </c>
      <c r="I311" s="37" t="s">
        <v>550</v>
      </c>
      <c r="J311" s="37" t="s">
        <v>31</v>
      </c>
      <c r="K311" s="37" t="s">
        <v>554</v>
      </c>
      <c r="L311" s="37"/>
      <c r="M311" s="37"/>
      <c r="N311" s="37" t="s">
        <v>666</v>
      </c>
      <c r="O311" s="37" t="s">
        <v>561</v>
      </c>
      <c r="P311" s="51" t="s">
        <v>31</v>
      </c>
      <c r="Q311" s="37"/>
      <c r="R311" s="37" t="s">
        <v>31</v>
      </c>
      <c r="S311" s="37"/>
      <c r="T311" s="37" t="s">
        <v>204</v>
      </c>
      <c r="U311" s="37" t="s">
        <v>350</v>
      </c>
      <c r="V311" s="37"/>
      <c r="W311" s="37"/>
      <c r="X311" s="37" t="s">
        <v>31</v>
      </c>
      <c r="Y311" s="37"/>
      <c r="Z311" s="37" t="s">
        <v>31</v>
      </c>
      <c r="AA311" s="37"/>
      <c r="AB311" s="37" t="s">
        <v>31</v>
      </c>
      <c r="AC311" s="37"/>
      <c r="AD311" s="37" t="s">
        <v>31</v>
      </c>
      <c r="AE311" s="37"/>
      <c r="AH311" s="17"/>
      <c r="AI311" s="17" t="b">
        <f t="shared" si="15"/>
        <v>1</v>
      </c>
      <c r="AJ311" s="17" t="b">
        <f t="shared" si="16"/>
        <v>1</v>
      </c>
      <c r="AK311" s="17" t="str">
        <f t="shared" si="17"/>
        <v>EM00000000</v>
      </c>
    </row>
    <row r="312" spans="1:37" ht="13.15" customHeight="1" x14ac:dyDescent="0.25">
      <c r="A312" s="75" t="str">
        <f>_xlfn.XLOOKUP(C312,[1]Sheet2!$D:$D,[1]Sheet2!$C:$C)</f>
        <v>EM00016398</v>
      </c>
      <c r="B312" s="37">
        <v>1316</v>
      </c>
      <c r="C312" s="37" t="s">
        <v>551</v>
      </c>
      <c r="D312" s="37">
        <v>1</v>
      </c>
      <c r="E312" s="47" t="s">
        <v>205</v>
      </c>
      <c r="F312" s="48">
        <v>46266</v>
      </c>
      <c r="G312" s="48">
        <v>46295</v>
      </c>
      <c r="H312" s="37" t="s">
        <v>659</v>
      </c>
      <c r="I312" s="37" t="s">
        <v>551</v>
      </c>
      <c r="J312" s="37" t="s">
        <v>31</v>
      </c>
      <c r="K312" s="37" t="s">
        <v>554</v>
      </c>
      <c r="L312" s="37"/>
      <c r="M312" s="37"/>
      <c r="N312" s="37" t="s">
        <v>666</v>
      </c>
      <c r="O312" s="37" t="s">
        <v>561</v>
      </c>
      <c r="P312" s="51" t="s">
        <v>31</v>
      </c>
      <c r="Q312" s="37"/>
      <c r="R312" s="37" t="s">
        <v>31</v>
      </c>
      <c r="S312" s="37"/>
      <c r="T312" s="37" t="s">
        <v>204</v>
      </c>
      <c r="U312" s="37" t="s">
        <v>350</v>
      </c>
      <c r="V312" s="37"/>
      <c r="W312" s="37"/>
      <c r="X312" s="37" t="s">
        <v>31</v>
      </c>
      <c r="Y312" s="37"/>
      <c r="Z312" s="37" t="s">
        <v>31</v>
      </c>
      <c r="AA312" s="37"/>
      <c r="AB312" s="37" t="s">
        <v>31</v>
      </c>
      <c r="AC312" s="37"/>
      <c r="AD312" s="37" t="s">
        <v>31</v>
      </c>
      <c r="AE312" s="37"/>
      <c r="AH312" s="17"/>
      <c r="AI312" s="17" t="b">
        <f t="shared" si="15"/>
        <v>1</v>
      </c>
      <c r="AJ312" s="17" t="b">
        <f t="shared" si="16"/>
        <v>1</v>
      </c>
      <c r="AK312" s="17" t="str">
        <f t="shared" si="17"/>
        <v>EM00000000</v>
      </c>
    </row>
    <row r="313" spans="1:37" ht="13.15" customHeight="1" x14ac:dyDescent="0.25">
      <c r="A313" s="75" t="str">
        <f>_xlfn.XLOOKUP(C313,[1]Sheet2!$D:$D,[1]Sheet2!$C:$C)</f>
        <v>EM00016260</v>
      </c>
      <c r="B313" s="37">
        <v>1316</v>
      </c>
      <c r="C313" s="37" t="s">
        <v>552</v>
      </c>
      <c r="D313" s="37">
        <v>1</v>
      </c>
      <c r="E313" s="47" t="s">
        <v>205</v>
      </c>
      <c r="F313" s="48">
        <v>46266</v>
      </c>
      <c r="G313" s="48">
        <v>46295</v>
      </c>
      <c r="H313" s="37" t="s">
        <v>660</v>
      </c>
      <c r="I313" s="37" t="s">
        <v>552</v>
      </c>
      <c r="J313" s="37" t="s">
        <v>31</v>
      </c>
      <c r="K313" s="37" t="s">
        <v>554</v>
      </c>
      <c r="L313" s="37"/>
      <c r="M313" s="37"/>
      <c r="N313" s="37" t="s">
        <v>666</v>
      </c>
      <c r="O313" s="37" t="s">
        <v>561</v>
      </c>
      <c r="P313" s="52" t="s">
        <v>31</v>
      </c>
      <c r="Q313" s="37"/>
      <c r="R313" s="37" t="s">
        <v>31</v>
      </c>
      <c r="S313" s="37"/>
      <c r="T313" s="37" t="s">
        <v>204</v>
      </c>
      <c r="U313" s="37" t="s">
        <v>350</v>
      </c>
      <c r="V313" s="37"/>
      <c r="W313" s="37"/>
      <c r="X313" s="37" t="s">
        <v>31</v>
      </c>
      <c r="Y313" s="37"/>
      <c r="Z313" s="37" t="s">
        <v>31</v>
      </c>
      <c r="AA313" s="37"/>
      <c r="AB313" s="37" t="s">
        <v>31</v>
      </c>
      <c r="AC313" s="37"/>
      <c r="AD313" s="37" t="s">
        <v>31</v>
      </c>
      <c r="AE313" s="37"/>
      <c r="AH313" s="17"/>
      <c r="AI313" s="17" t="b">
        <f t="shared" si="15"/>
        <v>1</v>
      </c>
      <c r="AJ313" s="17" t="b">
        <f t="shared" si="16"/>
        <v>1</v>
      </c>
      <c r="AK313" s="17" t="str">
        <f t="shared" si="17"/>
        <v>EM00000000</v>
      </c>
    </row>
    <row r="314" spans="1:37" ht="13.15" customHeight="1" x14ac:dyDescent="0.25">
      <c r="A314" s="75" t="str">
        <f>_xlfn.XLOOKUP(C314,[1]Sheet2!$D:$D,[1]Sheet2!$C:$C)</f>
        <v>EM00016006</v>
      </c>
      <c r="B314" s="37">
        <v>1316</v>
      </c>
      <c r="C314" s="37" t="s">
        <v>553</v>
      </c>
      <c r="D314" s="37">
        <v>1</v>
      </c>
      <c r="E314" s="47" t="s">
        <v>205</v>
      </c>
      <c r="F314" s="48">
        <v>46266</v>
      </c>
      <c r="G314" s="48">
        <v>46295</v>
      </c>
      <c r="H314" s="37" t="s">
        <v>661</v>
      </c>
      <c r="I314" s="37" t="s">
        <v>553</v>
      </c>
      <c r="J314" s="37" t="s">
        <v>31</v>
      </c>
      <c r="K314" s="37" t="s">
        <v>554</v>
      </c>
      <c r="L314" s="37"/>
      <c r="M314" s="37"/>
      <c r="N314" s="37" t="s">
        <v>666</v>
      </c>
      <c r="O314" s="37" t="s">
        <v>561</v>
      </c>
      <c r="P314" s="37" t="s">
        <v>31</v>
      </c>
      <c r="Q314" s="37"/>
      <c r="R314" s="37" t="s">
        <v>31</v>
      </c>
      <c r="S314" s="37"/>
      <c r="T314" s="37" t="s">
        <v>204</v>
      </c>
      <c r="U314" s="37" t="s">
        <v>350</v>
      </c>
      <c r="V314" s="37"/>
      <c r="W314" s="37"/>
      <c r="X314" s="37" t="s">
        <v>31</v>
      </c>
      <c r="Y314" s="37"/>
      <c r="Z314" s="37" t="s">
        <v>31</v>
      </c>
      <c r="AA314" s="37"/>
      <c r="AB314" s="37" t="s">
        <v>31</v>
      </c>
      <c r="AC314" s="37"/>
      <c r="AD314" s="37" t="s">
        <v>31</v>
      </c>
      <c r="AE314" s="37"/>
      <c r="AH314" s="17"/>
      <c r="AI314" s="17" t="b">
        <f t="shared" si="15"/>
        <v>1</v>
      </c>
      <c r="AJ314" s="17" t="b">
        <f t="shared" si="16"/>
        <v>1</v>
      </c>
      <c r="AK314" s="17" t="str">
        <f t="shared" si="17"/>
        <v>EM00000000</v>
      </c>
    </row>
    <row r="315" spans="1:37" ht="13.15" customHeight="1" x14ac:dyDescent="0.25">
      <c r="A315" s="75" t="str">
        <f>_xlfn.XLOOKUP(C315,[1]Sheet2!$D:$D,[1]Sheet2!$C:$C)</f>
        <v>EM00000000</v>
      </c>
      <c r="B315" s="37">
        <v>1316</v>
      </c>
      <c r="C315" s="37" t="s">
        <v>554</v>
      </c>
      <c r="D315" s="37">
        <v>2</v>
      </c>
      <c r="E315" s="47" t="s">
        <v>205</v>
      </c>
      <c r="F315" s="48">
        <v>46266</v>
      </c>
      <c r="G315" s="48">
        <v>46295</v>
      </c>
      <c r="H315" s="37"/>
      <c r="I315" s="37"/>
      <c r="J315" s="37" t="s">
        <v>31</v>
      </c>
      <c r="K315" s="37" t="s">
        <v>554</v>
      </c>
      <c r="L315" s="37"/>
      <c r="M315" s="37"/>
      <c r="N315" s="37" t="s">
        <v>666</v>
      </c>
      <c r="O315" s="37" t="s">
        <v>561</v>
      </c>
      <c r="P315" s="37" t="s">
        <v>31</v>
      </c>
      <c r="Q315" s="37"/>
      <c r="R315" s="37" t="s">
        <v>31</v>
      </c>
      <c r="S315" s="37"/>
      <c r="T315" s="37" t="s">
        <v>204</v>
      </c>
      <c r="U315" s="37" t="s">
        <v>350</v>
      </c>
      <c r="V315" s="37"/>
      <c r="W315" s="37"/>
      <c r="X315" s="37" t="s">
        <v>31</v>
      </c>
      <c r="Y315" s="37"/>
      <c r="Z315" s="37" t="s">
        <v>31</v>
      </c>
      <c r="AA315" s="37"/>
      <c r="AB315" s="37" t="s">
        <v>31</v>
      </c>
      <c r="AC315" s="37"/>
      <c r="AD315" s="37" t="s">
        <v>31</v>
      </c>
      <c r="AE315" s="37"/>
      <c r="AH315" s="17"/>
      <c r="AI315" s="17" t="b">
        <f t="shared" si="15"/>
        <v>1</v>
      </c>
      <c r="AJ315" s="17" t="b">
        <f t="shared" si="16"/>
        <v>1</v>
      </c>
      <c r="AK315" s="17" t="str">
        <f t="shared" si="17"/>
        <v>EM00003990</v>
      </c>
    </row>
    <row r="316" spans="1:37" ht="13.15" customHeight="1" x14ac:dyDescent="0.25">
      <c r="A316" s="75" t="str">
        <f>_xlfn.XLOOKUP(C316,[1]Sheet2!$D:$D,[1]Sheet2!$C:$C)</f>
        <v>EM00016007</v>
      </c>
      <c r="B316" s="37">
        <v>1316</v>
      </c>
      <c r="C316" s="37" t="s">
        <v>555</v>
      </c>
      <c r="D316" s="37">
        <v>1</v>
      </c>
      <c r="E316" s="47" t="s">
        <v>205</v>
      </c>
      <c r="F316" s="48">
        <v>46266</v>
      </c>
      <c r="G316" s="48">
        <v>46295</v>
      </c>
      <c r="H316" s="37" t="s">
        <v>662</v>
      </c>
      <c r="I316" s="37" t="s">
        <v>555</v>
      </c>
      <c r="J316" s="37" t="s">
        <v>31</v>
      </c>
      <c r="K316" s="37" t="s">
        <v>560</v>
      </c>
      <c r="L316" s="37"/>
      <c r="M316" s="37"/>
      <c r="N316" s="37" t="s">
        <v>666</v>
      </c>
      <c r="O316" s="37" t="s">
        <v>561</v>
      </c>
      <c r="P316" s="51" t="s">
        <v>31</v>
      </c>
      <c r="Q316" s="37"/>
      <c r="R316" s="37" t="s">
        <v>31</v>
      </c>
      <c r="S316" s="37"/>
      <c r="T316" s="37" t="s">
        <v>204</v>
      </c>
      <c r="U316" s="37" t="s">
        <v>350</v>
      </c>
      <c r="V316" s="37"/>
      <c r="W316" s="37"/>
      <c r="X316" s="37" t="s">
        <v>31</v>
      </c>
      <c r="Y316" s="37"/>
      <c r="Z316" s="37" t="s">
        <v>31</v>
      </c>
      <c r="AA316" s="37"/>
      <c r="AB316" s="37" t="s">
        <v>31</v>
      </c>
      <c r="AC316" s="37"/>
      <c r="AD316" s="37" t="s">
        <v>31</v>
      </c>
      <c r="AE316" s="37"/>
      <c r="AH316" s="17"/>
      <c r="AI316" s="17" t="b">
        <f t="shared" si="15"/>
        <v>1</v>
      </c>
      <c r="AJ316" s="17" t="b">
        <f t="shared" si="16"/>
        <v>1</v>
      </c>
      <c r="AK316" s="17" t="str">
        <f t="shared" si="17"/>
        <v>EM00000000</v>
      </c>
    </row>
    <row r="317" spans="1:37" ht="13.15" customHeight="1" x14ac:dyDescent="0.25">
      <c r="A317" s="75" t="str">
        <f>_xlfn.XLOOKUP(C317,[1]Sheet2!$D:$D,[1]Sheet2!$C:$C)</f>
        <v>EM00016017</v>
      </c>
      <c r="B317" s="37">
        <v>1316</v>
      </c>
      <c r="C317" s="37" t="s">
        <v>556</v>
      </c>
      <c r="D317" s="37">
        <v>1</v>
      </c>
      <c r="E317" s="47" t="s">
        <v>205</v>
      </c>
      <c r="F317" s="48">
        <v>46266</v>
      </c>
      <c r="G317" s="48">
        <v>46295</v>
      </c>
      <c r="H317" s="37" t="s">
        <v>663</v>
      </c>
      <c r="I317" s="37" t="s">
        <v>556</v>
      </c>
      <c r="J317" s="37" t="s">
        <v>31</v>
      </c>
      <c r="K317" s="37" t="s">
        <v>560</v>
      </c>
      <c r="L317" s="37"/>
      <c r="M317" s="37"/>
      <c r="N317" s="37" t="s">
        <v>666</v>
      </c>
      <c r="O317" s="37" t="s">
        <v>561</v>
      </c>
      <c r="P317" s="51" t="s">
        <v>31</v>
      </c>
      <c r="Q317" s="37"/>
      <c r="R317" s="37" t="s">
        <v>31</v>
      </c>
      <c r="S317" s="37"/>
      <c r="T317" s="37" t="s">
        <v>204</v>
      </c>
      <c r="U317" s="37" t="s">
        <v>350</v>
      </c>
      <c r="V317" s="37"/>
      <c r="W317" s="37"/>
      <c r="X317" s="37" t="s">
        <v>31</v>
      </c>
      <c r="Y317" s="37"/>
      <c r="Z317" s="37" t="s">
        <v>31</v>
      </c>
      <c r="AA317" s="37"/>
      <c r="AB317" s="37" t="s">
        <v>31</v>
      </c>
      <c r="AC317" s="37"/>
      <c r="AD317" s="37" t="s">
        <v>31</v>
      </c>
      <c r="AE317" s="37"/>
      <c r="AH317" s="17"/>
      <c r="AI317" s="17" t="b">
        <f t="shared" si="15"/>
        <v>1</v>
      </c>
      <c r="AJ317" s="17" t="b">
        <f t="shared" si="16"/>
        <v>1</v>
      </c>
      <c r="AK317" s="17" t="str">
        <f t="shared" si="17"/>
        <v>EM00000000</v>
      </c>
    </row>
    <row r="318" spans="1:37" ht="13.15" customHeight="1" x14ac:dyDescent="0.25">
      <c r="A318" s="75" t="str">
        <f>_xlfn.XLOOKUP(C318,[1]Sheet2!$D:$D,[1]Sheet2!$C:$C)</f>
        <v>EM00016005</v>
      </c>
      <c r="B318" s="37">
        <v>1316</v>
      </c>
      <c r="C318" s="37" t="s">
        <v>557</v>
      </c>
      <c r="D318" s="37">
        <v>1</v>
      </c>
      <c r="E318" s="47" t="s">
        <v>205</v>
      </c>
      <c r="F318" s="48">
        <v>46266</v>
      </c>
      <c r="G318" s="48">
        <v>46295</v>
      </c>
      <c r="H318" s="37" t="s">
        <v>664</v>
      </c>
      <c r="I318" s="37" t="s">
        <v>557</v>
      </c>
      <c r="J318" s="37" t="s">
        <v>31</v>
      </c>
      <c r="K318" s="37" t="s">
        <v>560</v>
      </c>
      <c r="L318" s="37"/>
      <c r="M318" s="37"/>
      <c r="N318" s="37" t="s">
        <v>666</v>
      </c>
      <c r="O318" s="37" t="s">
        <v>561</v>
      </c>
      <c r="P318" s="52" t="s">
        <v>31</v>
      </c>
      <c r="Q318" s="37"/>
      <c r="R318" s="37" t="s">
        <v>31</v>
      </c>
      <c r="S318" s="37"/>
      <c r="T318" s="37" t="s">
        <v>204</v>
      </c>
      <c r="U318" s="37" t="s">
        <v>350</v>
      </c>
      <c r="V318" s="37"/>
      <c r="W318" s="37"/>
      <c r="X318" s="37" t="s">
        <v>31</v>
      </c>
      <c r="Y318" s="37"/>
      <c r="Z318" s="37" t="s">
        <v>31</v>
      </c>
      <c r="AA318" s="37"/>
      <c r="AB318" s="37" t="s">
        <v>31</v>
      </c>
      <c r="AC318" s="37"/>
      <c r="AD318" s="37" t="s">
        <v>31</v>
      </c>
      <c r="AE318" s="37"/>
      <c r="AH318" s="17"/>
      <c r="AI318" s="17" t="b">
        <f t="shared" si="15"/>
        <v>1</v>
      </c>
      <c r="AJ318" s="17" t="b">
        <f t="shared" si="16"/>
        <v>1</v>
      </c>
      <c r="AK318" s="17" t="str">
        <f t="shared" si="17"/>
        <v>EM00000000</v>
      </c>
    </row>
    <row r="319" spans="1:37" ht="13.15" customHeight="1" x14ac:dyDescent="0.25">
      <c r="A319" s="75" t="str">
        <f>_xlfn.XLOOKUP(C319,[1]Sheet2!$D:$D,[1]Sheet2!$C:$C)</f>
        <v>EM00016402</v>
      </c>
      <c r="B319" s="37">
        <v>1316</v>
      </c>
      <c r="C319" s="37" t="s">
        <v>558</v>
      </c>
      <c r="D319" s="37">
        <v>1</v>
      </c>
      <c r="E319" s="47" t="s">
        <v>205</v>
      </c>
      <c r="F319" s="48">
        <v>46266</v>
      </c>
      <c r="G319" s="48">
        <v>46295</v>
      </c>
      <c r="H319" s="37" t="s">
        <v>665</v>
      </c>
      <c r="I319" s="37" t="s">
        <v>558</v>
      </c>
      <c r="J319" s="37" t="s">
        <v>31</v>
      </c>
      <c r="K319" s="37" t="s">
        <v>560</v>
      </c>
      <c r="L319" s="37"/>
      <c r="M319" s="37"/>
      <c r="N319" s="37" t="s">
        <v>666</v>
      </c>
      <c r="O319" s="37" t="s">
        <v>561</v>
      </c>
      <c r="P319" s="37" t="s">
        <v>31</v>
      </c>
      <c r="Q319" s="37"/>
      <c r="R319" s="37" t="s">
        <v>31</v>
      </c>
      <c r="S319" s="37"/>
      <c r="T319" s="37" t="s">
        <v>204</v>
      </c>
      <c r="U319" s="37" t="s">
        <v>350</v>
      </c>
      <c r="V319" s="37"/>
      <c r="W319" s="37"/>
      <c r="X319" s="37" t="s">
        <v>31</v>
      </c>
      <c r="Y319" s="37"/>
      <c r="Z319" s="37" t="s">
        <v>31</v>
      </c>
      <c r="AA319" s="37"/>
      <c r="AB319" s="37" t="s">
        <v>31</v>
      </c>
      <c r="AC319" s="37"/>
      <c r="AD319" s="37" t="s">
        <v>31</v>
      </c>
      <c r="AE319" s="37"/>
      <c r="AH319" s="17"/>
      <c r="AI319" s="17" t="b">
        <f t="shared" si="15"/>
        <v>1</v>
      </c>
      <c r="AJ319" s="17" t="b">
        <f t="shared" si="16"/>
        <v>1</v>
      </c>
      <c r="AK319" s="17" t="str">
        <f t="shared" si="17"/>
        <v>EM00000000</v>
      </c>
    </row>
    <row r="320" spans="1:37" ht="13.15" customHeight="1" x14ac:dyDescent="0.25">
      <c r="A320" s="75" t="str">
        <f>_xlfn.XLOOKUP(C320,[1]Sheet2!$D:$D,[1]Sheet2!$C:$C)</f>
        <v>EM00000000</v>
      </c>
      <c r="B320" s="37">
        <v>1316</v>
      </c>
      <c r="C320" s="37" t="s">
        <v>559</v>
      </c>
      <c r="D320" s="37">
        <v>1</v>
      </c>
      <c r="E320" s="47" t="s">
        <v>205</v>
      </c>
      <c r="F320" s="48">
        <v>46266</v>
      </c>
      <c r="G320" s="48">
        <v>46295</v>
      </c>
      <c r="H320" s="37" t="s">
        <v>31</v>
      </c>
      <c r="I320" s="37" t="s">
        <v>559</v>
      </c>
      <c r="J320" s="37" t="s">
        <v>31</v>
      </c>
      <c r="K320" s="37" t="s">
        <v>560</v>
      </c>
      <c r="L320" s="37"/>
      <c r="M320" s="37"/>
      <c r="N320" s="37" t="s">
        <v>666</v>
      </c>
      <c r="O320" s="37" t="s">
        <v>561</v>
      </c>
      <c r="P320" s="37" t="s">
        <v>31</v>
      </c>
      <c r="Q320" s="37"/>
      <c r="R320" s="37" t="s">
        <v>31</v>
      </c>
      <c r="S320" s="37"/>
      <c r="T320" s="37" t="s">
        <v>204</v>
      </c>
      <c r="U320" s="37" t="s">
        <v>350</v>
      </c>
      <c r="V320" s="37"/>
      <c r="W320" s="37"/>
      <c r="X320" s="37" t="s">
        <v>31</v>
      </c>
      <c r="Y320" s="37"/>
      <c r="Z320" s="37" t="s">
        <v>31</v>
      </c>
      <c r="AA320" s="37"/>
      <c r="AB320" s="37" t="s">
        <v>31</v>
      </c>
      <c r="AC320" s="37"/>
      <c r="AD320" s="37" t="s">
        <v>31</v>
      </c>
      <c r="AE320" s="37"/>
      <c r="AH320" s="17"/>
      <c r="AI320" s="17" t="b">
        <f t="shared" si="15"/>
        <v>1</v>
      </c>
      <c r="AJ320" s="17" t="b">
        <f t="shared" si="16"/>
        <v>1</v>
      </c>
      <c r="AK320" s="17" t="str">
        <f t="shared" si="17"/>
        <v>EM00000000</v>
      </c>
    </row>
    <row r="321" spans="1:37" ht="13.15" customHeight="1" x14ac:dyDescent="0.25">
      <c r="A321" s="75" t="str">
        <f>_xlfn.XLOOKUP(C321,[1]Sheet2!$D:$D,[1]Sheet2!$C:$C)</f>
        <v>EM00000000</v>
      </c>
      <c r="B321" s="37">
        <v>1316</v>
      </c>
      <c r="C321" s="37" t="s">
        <v>560</v>
      </c>
      <c r="D321" s="37">
        <v>2</v>
      </c>
      <c r="E321" s="47" t="s">
        <v>205</v>
      </c>
      <c r="F321" s="48">
        <v>46266</v>
      </c>
      <c r="G321" s="48">
        <v>46295</v>
      </c>
      <c r="H321" s="37"/>
      <c r="I321" s="37"/>
      <c r="J321" s="37" t="s">
        <v>31</v>
      </c>
      <c r="K321" s="37" t="s">
        <v>560</v>
      </c>
      <c r="L321" s="37"/>
      <c r="M321" s="37"/>
      <c r="N321" s="37" t="s">
        <v>666</v>
      </c>
      <c r="O321" s="37" t="s">
        <v>561</v>
      </c>
      <c r="P321" s="51" t="s">
        <v>31</v>
      </c>
      <c r="Q321" s="37"/>
      <c r="R321" s="37" t="s">
        <v>31</v>
      </c>
      <c r="S321" s="37"/>
      <c r="T321" s="37" t="s">
        <v>204</v>
      </c>
      <c r="U321" s="37" t="s">
        <v>350</v>
      </c>
      <c r="V321" s="37"/>
      <c r="W321" s="37"/>
      <c r="X321" s="37" t="s">
        <v>31</v>
      </c>
      <c r="Y321" s="37"/>
      <c r="Z321" s="37" t="s">
        <v>31</v>
      </c>
      <c r="AA321" s="37"/>
      <c r="AB321" s="37" t="s">
        <v>31</v>
      </c>
      <c r="AC321" s="37"/>
      <c r="AD321" s="37" t="s">
        <v>31</v>
      </c>
      <c r="AE321" s="37"/>
      <c r="AH321" s="17"/>
      <c r="AI321" s="17" t="b">
        <f t="shared" si="15"/>
        <v>1</v>
      </c>
      <c r="AJ321" s="17" t="b">
        <f t="shared" si="16"/>
        <v>1</v>
      </c>
      <c r="AK321" s="17" t="str">
        <f t="shared" si="17"/>
        <v>EM00003990</v>
      </c>
    </row>
    <row r="322" spans="1:37" ht="13.15" customHeight="1" x14ac:dyDescent="0.25">
      <c r="A322" s="75" t="s">
        <v>31</v>
      </c>
      <c r="B322" s="37">
        <v>1317</v>
      </c>
      <c r="C322" s="37" t="s">
        <v>689</v>
      </c>
      <c r="D322" s="37">
        <v>1</v>
      </c>
      <c r="E322" s="47" t="s">
        <v>205</v>
      </c>
      <c r="F322" s="48">
        <v>46266</v>
      </c>
      <c r="G322" s="48">
        <v>46295</v>
      </c>
      <c r="H322" s="37" t="s">
        <v>31</v>
      </c>
      <c r="I322" s="37" t="s">
        <v>689</v>
      </c>
      <c r="J322" s="37" t="s">
        <v>31</v>
      </c>
      <c r="K322" s="37" t="s">
        <v>692</v>
      </c>
      <c r="L322" s="37"/>
      <c r="M322" s="37"/>
      <c r="N322" s="37" t="s">
        <v>666</v>
      </c>
      <c r="O322" s="37" t="s">
        <v>561</v>
      </c>
      <c r="P322" s="51" t="s">
        <v>31</v>
      </c>
      <c r="Q322" s="37"/>
      <c r="R322" s="37" t="s">
        <v>31</v>
      </c>
      <c r="S322" s="37"/>
      <c r="T322" s="37" t="s">
        <v>204</v>
      </c>
      <c r="U322" s="37" t="s">
        <v>350</v>
      </c>
      <c r="V322" s="37"/>
      <c r="W322" s="37"/>
      <c r="X322" s="37" t="s">
        <v>31</v>
      </c>
      <c r="Y322" s="37"/>
      <c r="Z322" s="37" t="s">
        <v>31</v>
      </c>
      <c r="AA322" s="37"/>
      <c r="AB322" s="37" t="s">
        <v>31</v>
      </c>
      <c r="AC322" s="37"/>
      <c r="AD322" s="37" t="s">
        <v>31</v>
      </c>
      <c r="AE322" s="37"/>
      <c r="AH322" s="17"/>
      <c r="AI322" s="17" t="b">
        <f t="shared" si="15"/>
        <v>1</v>
      </c>
      <c r="AJ322" s="17" t="b">
        <f t="shared" si="16"/>
        <v>1</v>
      </c>
      <c r="AK322" s="17" t="str">
        <f t="shared" si="17"/>
        <v>EM00000000</v>
      </c>
    </row>
    <row r="323" spans="1:37" ht="13.15" customHeight="1" x14ac:dyDescent="0.25">
      <c r="A323" s="75" t="s">
        <v>31</v>
      </c>
      <c r="B323" s="37">
        <v>1317</v>
      </c>
      <c r="C323" s="37" t="s">
        <v>690</v>
      </c>
      <c r="D323" s="37">
        <v>2</v>
      </c>
      <c r="E323" s="47" t="s">
        <v>205</v>
      </c>
      <c r="F323" s="48">
        <v>46266</v>
      </c>
      <c r="G323" s="48">
        <v>46295</v>
      </c>
      <c r="H323" s="37"/>
      <c r="I323" s="37"/>
      <c r="J323" s="37"/>
      <c r="K323" s="37"/>
      <c r="L323" s="37"/>
      <c r="M323" s="37"/>
      <c r="N323" s="37" t="s">
        <v>666</v>
      </c>
      <c r="O323" s="37" t="s">
        <v>561</v>
      </c>
      <c r="P323" s="52" t="s">
        <v>31</v>
      </c>
      <c r="Q323" s="37"/>
      <c r="R323" s="37" t="s">
        <v>31</v>
      </c>
      <c r="S323" s="37"/>
      <c r="T323" s="37" t="s">
        <v>204</v>
      </c>
      <c r="U323" s="37" t="s">
        <v>350</v>
      </c>
      <c r="V323" s="37"/>
      <c r="W323" s="37"/>
      <c r="X323" s="37" t="s">
        <v>31</v>
      </c>
      <c r="Y323" s="37"/>
      <c r="Z323" s="37" t="s">
        <v>31</v>
      </c>
      <c r="AA323" s="37"/>
      <c r="AB323" s="37" t="s">
        <v>31</v>
      </c>
      <c r="AC323" s="37"/>
      <c r="AD323" s="37" t="s">
        <v>31</v>
      </c>
      <c r="AE323" s="37"/>
      <c r="AH323" s="17"/>
      <c r="AI323" s="17" t="b">
        <f t="shared" ref="AI323:AI369" si="18">IF(D323=1,A323=H323,IF(D323=2,A323=J323,IF(D323=4,A323=N323,IF(D323=6,A323=R323,IF(D323=7,A323=T323,IF(D323=8,A323=V323,IF(D323=9,A323=X323,IF(D323=10,A323=Z323,IF(D323=11,A323=AB323,IF(D323=12,A323=AD323,IF(D323=13,A323=AF323)))))))))))</f>
        <v>0</v>
      </c>
      <c r="AJ323" s="17" t="b">
        <f t="shared" ref="AJ323:AJ369" si="19">IF(D323=1,C323=I323,IF(D323=2,C323=K323,IF(D323=4,C323=O323,IF(D323=6,C323=S323,IF(D323=7,C323=U323,IF(D323=8,C323=W323,IF(D323=9,C323=Y323,IF(D323=10,C323=AA323,IF(D323=11,C323=AC323,IF(D323=12,C323=AE323,IF(D323=13,C323=AG323)))))))))))</f>
        <v>0</v>
      </c>
      <c r="AK323" s="17" t="str">
        <f t="shared" ref="AK323:AK369" si="20">IF(D323=1,J323,IF(D323=2,N323,IF(D323=4,R323,IF(D323=6,T323,IF(D323=7,V323,IF(D323=8,X323,IF(D323=9,Z323)))))))</f>
        <v>EM00003990</v>
      </c>
    </row>
    <row r="324" spans="1:37" ht="13.15" customHeight="1" x14ac:dyDescent="0.25">
      <c r="A324" s="75" t="s">
        <v>666</v>
      </c>
      <c r="B324" s="37">
        <v>1332</v>
      </c>
      <c r="C324" s="37" t="s">
        <v>561</v>
      </c>
      <c r="D324" s="37">
        <v>4</v>
      </c>
      <c r="E324" s="47" t="s">
        <v>205</v>
      </c>
      <c r="F324" s="48">
        <v>46266</v>
      </c>
      <c r="G324" s="48">
        <v>46295</v>
      </c>
      <c r="H324" s="37"/>
      <c r="I324" s="37"/>
      <c r="J324" s="37"/>
      <c r="K324" s="37"/>
      <c r="L324" s="37"/>
      <c r="M324" s="37"/>
      <c r="N324" s="37" t="s">
        <v>666</v>
      </c>
      <c r="O324" s="37" t="s">
        <v>561</v>
      </c>
      <c r="P324" s="37" t="s">
        <v>31</v>
      </c>
      <c r="Q324" s="37"/>
      <c r="R324" s="37" t="s">
        <v>31</v>
      </c>
      <c r="S324" s="37"/>
      <c r="T324" s="37" t="s">
        <v>204</v>
      </c>
      <c r="U324" s="37" t="s">
        <v>350</v>
      </c>
      <c r="V324" s="37"/>
      <c r="W324" s="37"/>
      <c r="X324" s="37" t="s">
        <v>31</v>
      </c>
      <c r="Y324" s="37"/>
      <c r="Z324" s="37" t="s">
        <v>31</v>
      </c>
      <c r="AA324" s="37"/>
      <c r="AB324" s="37" t="s">
        <v>31</v>
      </c>
      <c r="AC324" s="37"/>
      <c r="AD324" s="37" t="s">
        <v>31</v>
      </c>
      <c r="AE324" s="37"/>
      <c r="AH324" s="17"/>
      <c r="AI324" s="17" t="b">
        <f t="shared" si="18"/>
        <v>1</v>
      </c>
      <c r="AJ324" s="17" t="b">
        <f t="shared" si="19"/>
        <v>1</v>
      </c>
      <c r="AK324" s="17" t="str">
        <f t="shared" si="20"/>
        <v>EM00000000</v>
      </c>
    </row>
    <row r="325" spans="1:37" ht="13.15" customHeight="1" x14ac:dyDescent="0.25">
      <c r="A325" s="75" t="s">
        <v>666</v>
      </c>
      <c r="B325" s="37">
        <v>1331</v>
      </c>
      <c r="C325" s="37" t="s">
        <v>561</v>
      </c>
      <c r="D325" s="37">
        <v>4</v>
      </c>
      <c r="E325" s="47" t="s">
        <v>205</v>
      </c>
      <c r="F325" s="48">
        <v>46266</v>
      </c>
      <c r="G325" s="48">
        <v>46295</v>
      </c>
      <c r="H325" s="37"/>
      <c r="I325" s="37"/>
      <c r="J325" s="37"/>
      <c r="K325" s="37"/>
      <c r="L325" s="37"/>
      <c r="M325" s="37"/>
      <c r="N325" s="37" t="s">
        <v>666</v>
      </c>
      <c r="O325" s="37" t="s">
        <v>561</v>
      </c>
      <c r="P325" s="37" t="s">
        <v>31</v>
      </c>
      <c r="Q325" s="37"/>
      <c r="R325" s="37" t="s">
        <v>31</v>
      </c>
      <c r="S325" s="37"/>
      <c r="T325" s="37" t="s">
        <v>204</v>
      </c>
      <c r="U325" s="37" t="s">
        <v>350</v>
      </c>
      <c r="V325" s="37"/>
      <c r="W325" s="37"/>
      <c r="X325" s="37" t="s">
        <v>31</v>
      </c>
      <c r="Y325" s="37"/>
      <c r="Z325" s="37" t="s">
        <v>31</v>
      </c>
      <c r="AA325" s="37"/>
      <c r="AB325" s="37" t="s">
        <v>31</v>
      </c>
      <c r="AC325" s="37"/>
      <c r="AD325" s="37" t="s">
        <v>31</v>
      </c>
      <c r="AE325" s="37"/>
      <c r="AH325" s="17"/>
      <c r="AI325" s="17" t="b">
        <f t="shared" si="18"/>
        <v>1</v>
      </c>
      <c r="AJ325" s="17" t="b">
        <f t="shared" si="19"/>
        <v>1</v>
      </c>
      <c r="AK325" s="17" t="str">
        <f t="shared" si="20"/>
        <v>EM00000000</v>
      </c>
    </row>
    <row r="326" spans="1:37" ht="13.15" customHeight="1" x14ac:dyDescent="0.25">
      <c r="A326" s="75" t="s">
        <v>666</v>
      </c>
      <c r="B326" s="37">
        <v>1317</v>
      </c>
      <c r="C326" s="37" t="s">
        <v>561</v>
      </c>
      <c r="D326" s="37">
        <v>4</v>
      </c>
      <c r="E326" s="47" t="s">
        <v>205</v>
      </c>
      <c r="F326" s="48">
        <v>46266</v>
      </c>
      <c r="G326" s="48">
        <v>46295</v>
      </c>
      <c r="H326" s="37"/>
      <c r="I326" s="37"/>
      <c r="J326" s="37"/>
      <c r="K326" s="37"/>
      <c r="L326" s="37"/>
      <c r="M326" s="37"/>
      <c r="N326" s="37" t="s">
        <v>666</v>
      </c>
      <c r="O326" s="37" t="s">
        <v>561</v>
      </c>
      <c r="P326" s="51" t="s">
        <v>31</v>
      </c>
      <c r="Q326" s="37"/>
      <c r="R326" s="37" t="s">
        <v>31</v>
      </c>
      <c r="S326" s="37"/>
      <c r="T326" s="37" t="s">
        <v>204</v>
      </c>
      <c r="U326" s="37" t="s">
        <v>350</v>
      </c>
      <c r="V326" s="37"/>
      <c r="W326" s="37"/>
      <c r="X326" s="37" t="s">
        <v>31</v>
      </c>
      <c r="Y326" s="37"/>
      <c r="Z326" s="37" t="s">
        <v>31</v>
      </c>
      <c r="AA326" s="37"/>
      <c r="AB326" s="37" t="s">
        <v>31</v>
      </c>
      <c r="AC326" s="37"/>
      <c r="AD326" s="37" t="s">
        <v>31</v>
      </c>
      <c r="AE326" s="37"/>
      <c r="AH326" s="17"/>
      <c r="AI326" s="17" t="b">
        <f t="shared" si="18"/>
        <v>1</v>
      </c>
      <c r="AJ326" s="17" t="b">
        <f t="shared" si="19"/>
        <v>1</v>
      </c>
      <c r="AK326" s="17" t="str">
        <f t="shared" si="20"/>
        <v>EM00000000</v>
      </c>
    </row>
    <row r="327" spans="1:37" ht="13.15" customHeight="1" x14ac:dyDescent="0.25">
      <c r="A327" s="75" t="s">
        <v>666</v>
      </c>
      <c r="B327" s="37">
        <v>1333</v>
      </c>
      <c r="C327" s="37" t="s">
        <v>561</v>
      </c>
      <c r="D327" s="37">
        <v>4</v>
      </c>
      <c r="E327" s="47" t="s">
        <v>205</v>
      </c>
      <c r="F327" s="48">
        <v>46266</v>
      </c>
      <c r="G327" s="48">
        <v>46295</v>
      </c>
      <c r="H327" s="37"/>
      <c r="I327" s="37"/>
      <c r="J327" s="37"/>
      <c r="K327" s="37"/>
      <c r="L327" s="37"/>
      <c r="M327" s="37"/>
      <c r="N327" s="37" t="s">
        <v>666</v>
      </c>
      <c r="O327" s="37" t="s">
        <v>561</v>
      </c>
      <c r="P327" s="51" t="s">
        <v>31</v>
      </c>
      <c r="Q327" s="37"/>
      <c r="R327" s="37" t="s">
        <v>31</v>
      </c>
      <c r="S327" s="37"/>
      <c r="T327" s="37" t="s">
        <v>204</v>
      </c>
      <c r="U327" s="37" t="s">
        <v>350</v>
      </c>
      <c r="V327" s="37"/>
      <c r="W327" s="37"/>
      <c r="X327" s="37" t="s">
        <v>31</v>
      </c>
      <c r="Y327" s="37"/>
      <c r="Z327" s="37" t="s">
        <v>31</v>
      </c>
      <c r="AA327" s="37"/>
      <c r="AB327" s="37" t="s">
        <v>31</v>
      </c>
      <c r="AC327" s="37"/>
      <c r="AD327" s="37" t="s">
        <v>31</v>
      </c>
      <c r="AE327" s="37"/>
      <c r="AH327" s="17"/>
      <c r="AI327" s="17" t="b">
        <f t="shared" si="18"/>
        <v>1</v>
      </c>
      <c r="AJ327" s="17" t="b">
        <f t="shared" si="19"/>
        <v>1</v>
      </c>
      <c r="AK327" s="17" t="str">
        <f t="shared" si="20"/>
        <v>EM00000000</v>
      </c>
    </row>
    <row r="328" spans="1:37" ht="13.15" customHeight="1" x14ac:dyDescent="0.25">
      <c r="A328" s="75" t="s">
        <v>666</v>
      </c>
      <c r="B328" s="37">
        <v>1316</v>
      </c>
      <c r="C328" s="37" t="s">
        <v>561</v>
      </c>
      <c r="D328" s="37">
        <v>4</v>
      </c>
      <c r="E328" s="47" t="s">
        <v>205</v>
      </c>
      <c r="F328" s="48">
        <v>46266</v>
      </c>
      <c r="G328" s="48">
        <v>46295</v>
      </c>
      <c r="H328" s="37"/>
      <c r="I328" s="37"/>
      <c r="J328" s="37"/>
      <c r="K328" s="37"/>
      <c r="L328" s="37"/>
      <c r="M328" s="37"/>
      <c r="N328" s="37" t="s">
        <v>666</v>
      </c>
      <c r="O328" s="37" t="s">
        <v>561</v>
      </c>
      <c r="P328" s="52" t="s">
        <v>31</v>
      </c>
      <c r="Q328" s="37"/>
      <c r="R328" s="37" t="s">
        <v>31</v>
      </c>
      <c r="S328" s="37"/>
      <c r="T328" s="37" t="s">
        <v>204</v>
      </c>
      <c r="U328" s="37" t="s">
        <v>350</v>
      </c>
      <c r="V328" s="37"/>
      <c r="W328" s="37"/>
      <c r="X328" s="37" t="s">
        <v>31</v>
      </c>
      <c r="Y328" s="37"/>
      <c r="Z328" s="37" t="s">
        <v>31</v>
      </c>
      <c r="AA328" s="37"/>
      <c r="AB328" s="37" t="s">
        <v>31</v>
      </c>
      <c r="AC328" s="37"/>
      <c r="AD328" s="37" t="s">
        <v>31</v>
      </c>
      <c r="AE328" s="37"/>
      <c r="AH328" s="17"/>
      <c r="AI328" s="17" t="b">
        <f t="shared" si="18"/>
        <v>1</v>
      </c>
      <c r="AJ328" s="17" t="b">
        <f t="shared" si="19"/>
        <v>1</v>
      </c>
      <c r="AK328" s="17" t="str">
        <f t="shared" si="20"/>
        <v>EM00000000</v>
      </c>
    </row>
    <row r="329" spans="1:37" ht="13.15" customHeight="1" x14ac:dyDescent="0.25">
      <c r="A329" s="37" t="s">
        <v>204</v>
      </c>
      <c r="B329" s="37">
        <v>1332</v>
      </c>
      <c r="C329" s="37" t="s">
        <v>350</v>
      </c>
      <c r="D329" s="37">
        <v>7</v>
      </c>
      <c r="E329" s="47" t="s">
        <v>205</v>
      </c>
      <c r="F329" s="48">
        <v>46266</v>
      </c>
      <c r="G329" s="48">
        <v>46295</v>
      </c>
      <c r="H329" s="37"/>
      <c r="I329" s="37"/>
      <c r="J329" s="37"/>
      <c r="K329" s="37"/>
      <c r="L329" s="37"/>
      <c r="M329" s="37"/>
      <c r="N329" s="37"/>
      <c r="O329" s="37"/>
      <c r="P329" s="37" t="s">
        <v>31</v>
      </c>
      <c r="Q329" s="37"/>
      <c r="R329" s="37" t="s">
        <v>31</v>
      </c>
      <c r="S329" s="37"/>
      <c r="T329" s="37" t="s">
        <v>204</v>
      </c>
      <c r="U329" s="37" t="s">
        <v>350</v>
      </c>
      <c r="V329" s="37"/>
      <c r="W329" s="37"/>
      <c r="X329" s="37" t="s">
        <v>31</v>
      </c>
      <c r="Y329" s="37"/>
      <c r="Z329" s="37" t="s">
        <v>31</v>
      </c>
      <c r="AA329" s="37"/>
      <c r="AB329" s="37" t="s">
        <v>31</v>
      </c>
      <c r="AC329" s="37"/>
      <c r="AD329" s="37" t="s">
        <v>31</v>
      </c>
      <c r="AE329" s="37"/>
      <c r="AH329" s="17"/>
      <c r="AI329" s="17" t="b">
        <f t="shared" si="18"/>
        <v>1</v>
      </c>
      <c r="AJ329" s="17" t="b">
        <f t="shared" si="19"/>
        <v>1</v>
      </c>
      <c r="AK329" s="17">
        <f t="shared" si="20"/>
        <v>0</v>
      </c>
    </row>
    <row r="330" spans="1:37" ht="13.15" customHeight="1" x14ac:dyDescent="0.25">
      <c r="A330" s="37" t="s">
        <v>204</v>
      </c>
      <c r="B330" s="37">
        <v>1331</v>
      </c>
      <c r="C330" s="37" t="s">
        <v>350</v>
      </c>
      <c r="D330" s="37">
        <v>7</v>
      </c>
      <c r="E330" s="47" t="s">
        <v>205</v>
      </c>
      <c r="F330" s="48">
        <v>46266</v>
      </c>
      <c r="G330" s="48">
        <v>46295</v>
      </c>
      <c r="H330" s="37"/>
      <c r="I330" s="37"/>
      <c r="J330" s="37"/>
      <c r="K330" s="37"/>
      <c r="L330" s="37"/>
      <c r="M330" s="37"/>
      <c r="N330" s="37"/>
      <c r="O330" s="37"/>
      <c r="P330" s="37" t="s">
        <v>31</v>
      </c>
      <c r="Q330" s="37"/>
      <c r="R330" s="37" t="s">
        <v>31</v>
      </c>
      <c r="S330" s="37"/>
      <c r="T330" s="37" t="s">
        <v>204</v>
      </c>
      <c r="U330" s="37" t="s">
        <v>350</v>
      </c>
      <c r="V330" s="37"/>
      <c r="W330" s="37"/>
      <c r="X330" s="37" t="s">
        <v>31</v>
      </c>
      <c r="Y330" s="37"/>
      <c r="Z330" s="37" t="s">
        <v>31</v>
      </c>
      <c r="AA330" s="37"/>
      <c r="AB330" s="37" t="s">
        <v>31</v>
      </c>
      <c r="AC330" s="37"/>
      <c r="AD330" s="37" t="s">
        <v>31</v>
      </c>
      <c r="AE330" s="37"/>
      <c r="AH330" s="17"/>
      <c r="AI330" s="17" t="b">
        <f t="shared" si="18"/>
        <v>1</v>
      </c>
      <c r="AJ330" s="17" t="b">
        <f t="shared" si="19"/>
        <v>1</v>
      </c>
      <c r="AK330" s="17">
        <f t="shared" si="20"/>
        <v>0</v>
      </c>
    </row>
    <row r="331" spans="1:37" ht="13.15" customHeight="1" x14ac:dyDescent="0.25">
      <c r="A331" s="37" t="s">
        <v>204</v>
      </c>
      <c r="B331" s="37">
        <v>1317</v>
      </c>
      <c r="C331" s="37" t="s">
        <v>350</v>
      </c>
      <c r="D331" s="37">
        <v>7</v>
      </c>
      <c r="E331" s="47" t="s">
        <v>205</v>
      </c>
      <c r="F331" s="48">
        <v>46266</v>
      </c>
      <c r="G331" s="48">
        <v>46295</v>
      </c>
      <c r="H331" s="37"/>
      <c r="I331" s="37"/>
      <c r="J331" s="37"/>
      <c r="K331" s="37"/>
      <c r="L331" s="37"/>
      <c r="M331" s="37"/>
      <c r="N331" s="37"/>
      <c r="O331" s="37"/>
      <c r="P331" s="51" t="s">
        <v>31</v>
      </c>
      <c r="Q331" s="37"/>
      <c r="R331" s="37" t="s">
        <v>31</v>
      </c>
      <c r="S331" s="37"/>
      <c r="T331" s="37" t="s">
        <v>204</v>
      </c>
      <c r="U331" s="37" t="s">
        <v>350</v>
      </c>
      <c r="V331" s="37"/>
      <c r="W331" s="37"/>
      <c r="X331" s="37" t="s">
        <v>31</v>
      </c>
      <c r="Y331" s="37"/>
      <c r="Z331" s="37" t="s">
        <v>31</v>
      </c>
      <c r="AA331" s="37"/>
      <c r="AB331" s="37" t="s">
        <v>31</v>
      </c>
      <c r="AC331" s="37"/>
      <c r="AD331" s="37" t="s">
        <v>31</v>
      </c>
      <c r="AE331" s="37"/>
      <c r="AH331" s="17"/>
      <c r="AI331" s="17" t="b">
        <f t="shared" si="18"/>
        <v>1</v>
      </c>
      <c r="AJ331" s="17" t="b">
        <f t="shared" si="19"/>
        <v>1</v>
      </c>
      <c r="AK331" s="17">
        <f t="shared" si="20"/>
        <v>0</v>
      </c>
    </row>
    <row r="332" spans="1:37" ht="13.15" customHeight="1" x14ac:dyDescent="0.25">
      <c r="A332" s="37" t="s">
        <v>204</v>
      </c>
      <c r="B332" s="37">
        <v>1333</v>
      </c>
      <c r="C332" s="37" t="s">
        <v>350</v>
      </c>
      <c r="D332" s="37">
        <v>7</v>
      </c>
      <c r="E332" s="47" t="s">
        <v>205</v>
      </c>
      <c r="F332" s="48">
        <v>46266</v>
      </c>
      <c r="G332" s="48">
        <v>46295</v>
      </c>
      <c r="H332" s="37"/>
      <c r="I332" s="37"/>
      <c r="J332" s="37"/>
      <c r="K332" s="37"/>
      <c r="L332" s="37"/>
      <c r="M332" s="37"/>
      <c r="N332" s="37"/>
      <c r="O332" s="37"/>
      <c r="P332" s="51" t="s">
        <v>31</v>
      </c>
      <c r="Q332" s="37"/>
      <c r="R332" s="37" t="s">
        <v>31</v>
      </c>
      <c r="S332" s="37"/>
      <c r="T332" s="37" t="s">
        <v>204</v>
      </c>
      <c r="U332" s="37" t="s">
        <v>350</v>
      </c>
      <c r="V332" s="37"/>
      <c r="W332" s="37"/>
      <c r="X332" s="37" t="s">
        <v>31</v>
      </c>
      <c r="Y332" s="37"/>
      <c r="Z332" s="37" t="s">
        <v>31</v>
      </c>
      <c r="AA332" s="37"/>
      <c r="AB332" s="37" t="s">
        <v>31</v>
      </c>
      <c r="AC332" s="37"/>
      <c r="AD332" s="37" t="s">
        <v>31</v>
      </c>
      <c r="AE332" s="37"/>
      <c r="AH332" s="17"/>
      <c r="AI332" s="17" t="b">
        <f t="shared" si="18"/>
        <v>1</v>
      </c>
      <c r="AJ332" s="17" t="b">
        <f t="shared" si="19"/>
        <v>1</v>
      </c>
      <c r="AK332" s="17">
        <f t="shared" si="20"/>
        <v>0</v>
      </c>
    </row>
    <row r="333" spans="1:37" ht="13.15" customHeight="1" x14ac:dyDescent="0.25">
      <c r="A333" s="37" t="s">
        <v>204</v>
      </c>
      <c r="B333" s="37">
        <v>1316</v>
      </c>
      <c r="C333" s="37" t="s">
        <v>350</v>
      </c>
      <c r="D333" s="37">
        <v>7</v>
      </c>
      <c r="E333" s="47" t="s">
        <v>205</v>
      </c>
      <c r="F333" s="48">
        <v>46266</v>
      </c>
      <c r="G333" s="48">
        <v>46295</v>
      </c>
      <c r="H333" s="37"/>
      <c r="I333" s="37"/>
      <c r="J333" s="37"/>
      <c r="K333" s="37"/>
      <c r="L333" s="37"/>
      <c r="M333" s="37"/>
      <c r="N333" s="37"/>
      <c r="O333" s="37"/>
      <c r="P333" s="52" t="s">
        <v>31</v>
      </c>
      <c r="Q333" s="37"/>
      <c r="R333" s="37" t="s">
        <v>31</v>
      </c>
      <c r="S333" s="37"/>
      <c r="T333" s="37" t="s">
        <v>204</v>
      </c>
      <c r="U333" s="37" t="s">
        <v>350</v>
      </c>
      <c r="V333" s="37"/>
      <c r="W333" s="37"/>
      <c r="X333" s="37" t="s">
        <v>31</v>
      </c>
      <c r="Y333" s="37"/>
      <c r="Z333" s="37" t="s">
        <v>31</v>
      </c>
      <c r="AA333" s="37"/>
      <c r="AB333" s="37" t="s">
        <v>31</v>
      </c>
      <c r="AC333" s="37"/>
      <c r="AD333" s="37" t="s">
        <v>31</v>
      </c>
      <c r="AE333" s="37"/>
      <c r="AH333" s="17"/>
      <c r="AI333" s="17" t="b">
        <f t="shared" si="18"/>
        <v>1</v>
      </c>
      <c r="AJ333" s="17" t="b">
        <f t="shared" si="19"/>
        <v>1</v>
      </c>
      <c r="AK333" s="17">
        <f t="shared" si="20"/>
        <v>0</v>
      </c>
    </row>
    <row r="334" spans="1:37" ht="13.15" customHeight="1" x14ac:dyDescent="0.25">
      <c r="A334" s="75" t="str">
        <f>_xlfn.XLOOKUP(C334,[1]Sheet2!$D:$D,[1]Sheet2!$C:$C)</f>
        <v>EM00016406</v>
      </c>
      <c r="B334" s="37">
        <v>1335</v>
      </c>
      <c r="C334" s="37" t="s">
        <v>562</v>
      </c>
      <c r="D334" s="37">
        <v>1</v>
      </c>
      <c r="E334" s="47" t="s">
        <v>205</v>
      </c>
      <c r="F334" s="48">
        <v>46266</v>
      </c>
      <c r="G334" s="48">
        <v>46295</v>
      </c>
      <c r="H334" s="37" t="s">
        <v>667</v>
      </c>
      <c r="I334" s="37" t="s">
        <v>562</v>
      </c>
      <c r="J334" s="37" t="s">
        <v>31</v>
      </c>
      <c r="K334" s="37" t="s">
        <v>927</v>
      </c>
      <c r="L334" s="37"/>
      <c r="M334" s="37"/>
      <c r="N334" s="37" t="s">
        <v>677</v>
      </c>
      <c r="O334" s="37" t="s">
        <v>581</v>
      </c>
      <c r="P334" s="37" t="s">
        <v>31</v>
      </c>
      <c r="Q334" s="37"/>
      <c r="R334" s="37" t="s">
        <v>31</v>
      </c>
      <c r="S334" s="37"/>
      <c r="T334" s="37"/>
      <c r="U334" s="37"/>
      <c r="V334" s="37" t="s">
        <v>202</v>
      </c>
      <c r="W334" s="37" t="s">
        <v>203</v>
      </c>
      <c r="X334" s="37" t="s">
        <v>31</v>
      </c>
      <c r="Y334" s="37"/>
      <c r="Z334" s="37" t="s">
        <v>31</v>
      </c>
      <c r="AA334" s="37"/>
      <c r="AB334" s="37" t="s">
        <v>31</v>
      </c>
      <c r="AC334" s="37"/>
      <c r="AD334" s="37" t="s">
        <v>31</v>
      </c>
      <c r="AE334" s="37"/>
      <c r="AH334" s="17"/>
      <c r="AI334" s="17" t="b">
        <f t="shared" si="18"/>
        <v>1</v>
      </c>
      <c r="AJ334" s="17" t="b">
        <f t="shared" si="19"/>
        <v>1</v>
      </c>
      <c r="AK334" s="17" t="str">
        <f t="shared" si="20"/>
        <v>EM00000000</v>
      </c>
    </row>
    <row r="335" spans="1:37" ht="13.15" customHeight="1" x14ac:dyDescent="0.25">
      <c r="A335" s="75" t="str">
        <f>_xlfn.XLOOKUP(C335,[1]Sheet2!$D:$D,[1]Sheet2!$C:$C)</f>
        <v>EM00016387</v>
      </c>
      <c r="B335" s="37">
        <v>1335</v>
      </c>
      <c r="C335" s="37" t="s">
        <v>563</v>
      </c>
      <c r="D335" s="37">
        <v>1</v>
      </c>
      <c r="E335" s="47" t="s">
        <v>205</v>
      </c>
      <c r="F335" s="48">
        <v>46266</v>
      </c>
      <c r="G335" s="48">
        <v>46295</v>
      </c>
      <c r="H335" s="37" t="s">
        <v>668</v>
      </c>
      <c r="I335" s="37" t="s">
        <v>563</v>
      </c>
      <c r="J335" s="37" t="s">
        <v>31</v>
      </c>
      <c r="K335" s="37" t="s">
        <v>927</v>
      </c>
      <c r="L335" s="37"/>
      <c r="M335" s="37"/>
      <c r="N335" s="37" t="s">
        <v>677</v>
      </c>
      <c r="O335" s="37" t="s">
        <v>581</v>
      </c>
      <c r="P335" s="37" t="s">
        <v>31</v>
      </c>
      <c r="Q335" s="37"/>
      <c r="R335" s="37" t="s">
        <v>31</v>
      </c>
      <c r="S335" s="37"/>
      <c r="T335" s="37"/>
      <c r="U335" s="37"/>
      <c r="V335" s="37" t="s">
        <v>202</v>
      </c>
      <c r="W335" s="37" t="s">
        <v>203</v>
      </c>
      <c r="X335" s="37" t="s">
        <v>31</v>
      </c>
      <c r="Y335" s="37"/>
      <c r="Z335" s="37" t="s">
        <v>31</v>
      </c>
      <c r="AA335" s="37"/>
      <c r="AB335" s="37" t="s">
        <v>31</v>
      </c>
      <c r="AC335" s="37"/>
      <c r="AD335" s="37" t="s">
        <v>31</v>
      </c>
      <c r="AE335" s="37"/>
      <c r="AH335" s="17"/>
      <c r="AI335" s="17" t="b">
        <f t="shared" si="18"/>
        <v>1</v>
      </c>
      <c r="AJ335" s="17" t="b">
        <f t="shared" si="19"/>
        <v>1</v>
      </c>
      <c r="AK335" s="17" t="str">
        <f t="shared" si="20"/>
        <v>EM00000000</v>
      </c>
    </row>
    <row r="336" spans="1:37" ht="13.15" customHeight="1" x14ac:dyDescent="0.25">
      <c r="A336" s="75" t="str">
        <f>_xlfn.XLOOKUP(C336,[1]Sheet2!$D:$D,[1]Sheet2!$C:$C)</f>
        <v>EM00000000</v>
      </c>
      <c r="B336" s="37">
        <v>1335</v>
      </c>
      <c r="C336" s="37" t="s">
        <v>564</v>
      </c>
      <c r="D336" s="37">
        <v>1</v>
      </c>
      <c r="E336" s="47" t="s">
        <v>205</v>
      </c>
      <c r="F336" s="48">
        <v>46266</v>
      </c>
      <c r="G336" s="48">
        <v>46295</v>
      </c>
      <c r="H336" s="37" t="s">
        <v>31</v>
      </c>
      <c r="I336" s="37" t="s">
        <v>564</v>
      </c>
      <c r="J336" s="37" t="s">
        <v>31</v>
      </c>
      <c r="K336" s="37" t="s">
        <v>927</v>
      </c>
      <c r="L336" s="37"/>
      <c r="M336" s="37"/>
      <c r="N336" s="37" t="s">
        <v>677</v>
      </c>
      <c r="O336" s="37" t="s">
        <v>581</v>
      </c>
      <c r="P336" s="51" t="s">
        <v>31</v>
      </c>
      <c r="Q336" s="37"/>
      <c r="R336" s="37" t="s">
        <v>31</v>
      </c>
      <c r="S336" s="37"/>
      <c r="T336" s="37"/>
      <c r="U336" s="37"/>
      <c r="V336" s="37" t="s">
        <v>202</v>
      </c>
      <c r="W336" s="37" t="s">
        <v>203</v>
      </c>
      <c r="X336" s="37" t="s">
        <v>31</v>
      </c>
      <c r="Y336" s="37"/>
      <c r="Z336" s="37" t="s">
        <v>31</v>
      </c>
      <c r="AA336" s="37"/>
      <c r="AB336" s="37" t="s">
        <v>31</v>
      </c>
      <c r="AC336" s="37"/>
      <c r="AD336" s="37" t="s">
        <v>31</v>
      </c>
      <c r="AE336" s="37"/>
      <c r="AH336" s="17"/>
      <c r="AI336" s="17" t="b">
        <f t="shared" si="18"/>
        <v>1</v>
      </c>
      <c r="AJ336" s="17" t="b">
        <f t="shared" si="19"/>
        <v>1</v>
      </c>
      <c r="AK336" s="17" t="str">
        <f t="shared" si="20"/>
        <v>EM00000000</v>
      </c>
    </row>
    <row r="337" spans="1:37" ht="13.15" customHeight="1" x14ac:dyDescent="0.25">
      <c r="A337" s="75" t="str">
        <f>_xlfn.XLOOKUP(C337,[1]Sheet2!$D:$D,[1]Sheet2!$C:$C)</f>
        <v>EM00000000</v>
      </c>
      <c r="B337" s="37">
        <v>1335</v>
      </c>
      <c r="C337" s="37" t="s">
        <v>733</v>
      </c>
      <c r="D337" s="37">
        <v>1</v>
      </c>
      <c r="E337" s="47" t="s">
        <v>205</v>
      </c>
      <c r="F337" s="48">
        <v>46266</v>
      </c>
      <c r="G337" s="48">
        <v>46295</v>
      </c>
      <c r="H337" s="37" t="s">
        <v>31</v>
      </c>
      <c r="I337" s="37" t="s">
        <v>733</v>
      </c>
      <c r="J337" s="37" t="s">
        <v>31</v>
      </c>
      <c r="K337" s="37" t="s">
        <v>927</v>
      </c>
      <c r="L337" s="37"/>
      <c r="M337" s="37"/>
      <c r="N337" s="37" t="s">
        <v>677</v>
      </c>
      <c r="O337" s="37" t="s">
        <v>581</v>
      </c>
      <c r="P337" s="51" t="s">
        <v>31</v>
      </c>
      <c r="Q337" s="37"/>
      <c r="R337" s="37" t="s">
        <v>31</v>
      </c>
      <c r="S337" s="37"/>
      <c r="T337" s="37"/>
      <c r="U337" s="37"/>
      <c r="V337" s="37" t="s">
        <v>202</v>
      </c>
      <c r="W337" s="37" t="s">
        <v>203</v>
      </c>
      <c r="X337" s="37" t="s">
        <v>31</v>
      </c>
      <c r="Y337" s="37"/>
      <c r="Z337" s="37" t="s">
        <v>31</v>
      </c>
      <c r="AA337" s="37"/>
      <c r="AB337" s="37" t="s">
        <v>31</v>
      </c>
      <c r="AC337" s="37"/>
      <c r="AD337" s="37" t="s">
        <v>31</v>
      </c>
      <c r="AE337" s="37"/>
      <c r="AH337" s="17"/>
      <c r="AI337" s="17" t="b">
        <f t="shared" si="18"/>
        <v>1</v>
      </c>
      <c r="AJ337" s="17" t="b">
        <f t="shared" si="19"/>
        <v>1</v>
      </c>
      <c r="AK337" s="17" t="str">
        <f t="shared" si="20"/>
        <v>EM00000000</v>
      </c>
    </row>
    <row r="338" spans="1:37" ht="13.15" customHeight="1" x14ac:dyDescent="0.25">
      <c r="A338" s="75" t="str">
        <f>_xlfn.XLOOKUP(C338,[1]Sheet2!$D:$D,[1]Sheet2!$C:$C)</f>
        <v>EM00000000</v>
      </c>
      <c r="B338" s="37">
        <v>1335</v>
      </c>
      <c r="C338" s="37" t="s">
        <v>734</v>
      </c>
      <c r="D338" s="37">
        <v>1</v>
      </c>
      <c r="E338" s="47" t="s">
        <v>205</v>
      </c>
      <c r="F338" s="48">
        <v>46266</v>
      </c>
      <c r="G338" s="48">
        <v>46295</v>
      </c>
      <c r="H338" s="37" t="s">
        <v>31</v>
      </c>
      <c r="I338" s="37" t="s">
        <v>734</v>
      </c>
      <c r="J338" s="37" t="s">
        <v>31</v>
      </c>
      <c r="K338" s="37" t="s">
        <v>927</v>
      </c>
      <c r="L338" s="37"/>
      <c r="M338" s="37"/>
      <c r="N338" s="37" t="s">
        <v>677</v>
      </c>
      <c r="O338" s="37" t="s">
        <v>581</v>
      </c>
      <c r="P338" s="52" t="s">
        <v>31</v>
      </c>
      <c r="Q338" s="37"/>
      <c r="R338" s="37" t="s">
        <v>31</v>
      </c>
      <c r="S338" s="37"/>
      <c r="T338" s="37"/>
      <c r="U338" s="37"/>
      <c r="V338" s="37" t="s">
        <v>202</v>
      </c>
      <c r="W338" s="37" t="s">
        <v>203</v>
      </c>
      <c r="X338" s="37" t="s">
        <v>31</v>
      </c>
      <c r="Y338" s="37"/>
      <c r="Z338" s="37" t="s">
        <v>31</v>
      </c>
      <c r="AA338" s="37"/>
      <c r="AB338" s="37" t="s">
        <v>31</v>
      </c>
      <c r="AC338" s="37"/>
      <c r="AD338" s="37" t="s">
        <v>31</v>
      </c>
      <c r="AE338" s="37"/>
      <c r="AH338" s="17"/>
      <c r="AI338" s="17" t="b">
        <f t="shared" si="18"/>
        <v>1</v>
      </c>
      <c r="AJ338" s="17" t="b">
        <f t="shared" si="19"/>
        <v>1</v>
      </c>
      <c r="AK338" s="17" t="str">
        <f t="shared" si="20"/>
        <v>EM00000000</v>
      </c>
    </row>
    <row r="339" spans="1:37" ht="13.15" customHeight="1" x14ac:dyDescent="0.25">
      <c r="A339" s="75" t="str">
        <f>_xlfn.XLOOKUP(C339,[1]Sheet2!$D:$D,[1]Sheet2!$C:$C)</f>
        <v>EM00000000</v>
      </c>
      <c r="B339" s="37">
        <v>1335</v>
      </c>
      <c r="C339" s="37" t="s">
        <v>927</v>
      </c>
      <c r="D339" s="37">
        <v>2</v>
      </c>
      <c r="E339" s="47" t="s">
        <v>205</v>
      </c>
      <c r="F339" s="48">
        <v>46266</v>
      </c>
      <c r="G339" s="48">
        <v>46295</v>
      </c>
      <c r="H339" s="37"/>
      <c r="I339" s="37"/>
      <c r="J339" s="37" t="s">
        <v>31</v>
      </c>
      <c r="K339" s="37" t="s">
        <v>927</v>
      </c>
      <c r="L339" s="37"/>
      <c r="M339" s="37"/>
      <c r="N339" s="37" t="s">
        <v>677</v>
      </c>
      <c r="O339" s="37" t="s">
        <v>581</v>
      </c>
      <c r="P339" s="37" t="s">
        <v>31</v>
      </c>
      <c r="Q339" s="37"/>
      <c r="R339" s="37" t="s">
        <v>31</v>
      </c>
      <c r="S339" s="37"/>
      <c r="T339" s="37"/>
      <c r="U339" s="37"/>
      <c r="V339" s="37" t="s">
        <v>202</v>
      </c>
      <c r="W339" s="37" t="s">
        <v>203</v>
      </c>
      <c r="X339" s="37" t="s">
        <v>31</v>
      </c>
      <c r="Y339" s="37"/>
      <c r="Z339" s="37" t="s">
        <v>31</v>
      </c>
      <c r="AA339" s="37"/>
      <c r="AB339" s="37" t="s">
        <v>31</v>
      </c>
      <c r="AC339" s="37"/>
      <c r="AD339" s="37" t="s">
        <v>31</v>
      </c>
      <c r="AE339" s="37"/>
      <c r="AH339" s="17"/>
      <c r="AI339" s="17" t="b">
        <f t="shared" si="18"/>
        <v>1</v>
      </c>
      <c r="AJ339" s="17" t="b">
        <f t="shared" si="19"/>
        <v>1</v>
      </c>
      <c r="AK339" s="17" t="str">
        <f t="shared" si="20"/>
        <v>EM00016426</v>
      </c>
    </row>
    <row r="340" spans="1:37" ht="13.15" customHeight="1" x14ac:dyDescent="0.25">
      <c r="A340" s="75" t="str">
        <f>_xlfn.XLOOKUP(C340,[1]Sheet2!$D:$D,[1]Sheet2!$C:$C)</f>
        <v>EM00016405</v>
      </c>
      <c r="B340" s="37">
        <v>1330</v>
      </c>
      <c r="C340" s="37" t="s">
        <v>565</v>
      </c>
      <c r="D340" s="37">
        <v>1</v>
      </c>
      <c r="E340" s="47" t="s">
        <v>205</v>
      </c>
      <c r="F340" s="48">
        <v>46266</v>
      </c>
      <c r="G340" s="48">
        <v>46295</v>
      </c>
      <c r="H340" s="37" t="s">
        <v>669</v>
      </c>
      <c r="I340" s="37" t="s">
        <v>565</v>
      </c>
      <c r="J340" s="37" t="s">
        <v>31</v>
      </c>
      <c r="K340" s="37" t="s">
        <v>568</v>
      </c>
      <c r="L340" s="37"/>
      <c r="M340" s="37"/>
      <c r="N340" s="37" t="s">
        <v>677</v>
      </c>
      <c r="O340" s="37" t="s">
        <v>581</v>
      </c>
      <c r="P340" s="37" t="s">
        <v>31</v>
      </c>
      <c r="Q340" s="37"/>
      <c r="R340" s="37" t="s">
        <v>31</v>
      </c>
      <c r="S340" s="37"/>
      <c r="T340" s="37"/>
      <c r="U340" s="37"/>
      <c r="V340" s="37" t="s">
        <v>202</v>
      </c>
      <c r="W340" s="37" t="s">
        <v>203</v>
      </c>
      <c r="X340" s="37" t="s">
        <v>31</v>
      </c>
      <c r="Y340" s="37"/>
      <c r="Z340" s="37" t="s">
        <v>31</v>
      </c>
      <c r="AA340" s="37"/>
      <c r="AB340" s="37" t="s">
        <v>31</v>
      </c>
      <c r="AC340" s="37"/>
      <c r="AD340" s="37" t="s">
        <v>31</v>
      </c>
      <c r="AE340" s="37"/>
      <c r="AH340" s="17"/>
      <c r="AI340" s="17" t="b">
        <f t="shared" si="18"/>
        <v>1</v>
      </c>
      <c r="AJ340" s="17" t="b">
        <f t="shared" si="19"/>
        <v>1</v>
      </c>
      <c r="AK340" s="17" t="str">
        <f t="shared" si="20"/>
        <v>EM00000000</v>
      </c>
    </row>
    <row r="341" spans="1:37" ht="13.15" customHeight="1" x14ac:dyDescent="0.25">
      <c r="A341" s="75" t="str">
        <f>_xlfn.XLOOKUP(C341,[1]Sheet2!$D:$D,[1]Sheet2!$C:$C)</f>
        <v>EM00016504</v>
      </c>
      <c r="B341" s="37">
        <v>1330</v>
      </c>
      <c r="C341" s="37" t="s">
        <v>566</v>
      </c>
      <c r="D341" s="37">
        <v>1</v>
      </c>
      <c r="E341" s="47" t="s">
        <v>205</v>
      </c>
      <c r="F341" s="48">
        <v>46266</v>
      </c>
      <c r="G341" s="48">
        <v>46295</v>
      </c>
      <c r="H341" s="37" t="s">
        <v>735</v>
      </c>
      <c r="I341" s="37" t="s">
        <v>566</v>
      </c>
      <c r="J341" s="37" t="s">
        <v>31</v>
      </c>
      <c r="K341" s="37" t="s">
        <v>568</v>
      </c>
      <c r="L341" s="37"/>
      <c r="M341" s="37"/>
      <c r="N341" s="37" t="s">
        <v>677</v>
      </c>
      <c r="O341" s="37" t="s">
        <v>581</v>
      </c>
      <c r="P341" s="51" t="s">
        <v>31</v>
      </c>
      <c r="Q341" s="37"/>
      <c r="R341" s="37" t="s">
        <v>31</v>
      </c>
      <c r="S341" s="37"/>
      <c r="T341" s="37"/>
      <c r="U341" s="37"/>
      <c r="V341" s="37" t="s">
        <v>202</v>
      </c>
      <c r="W341" s="37" t="s">
        <v>203</v>
      </c>
      <c r="X341" s="37" t="s">
        <v>31</v>
      </c>
      <c r="Y341" s="37"/>
      <c r="Z341" s="37" t="s">
        <v>31</v>
      </c>
      <c r="AA341" s="37"/>
      <c r="AB341" s="37" t="s">
        <v>31</v>
      </c>
      <c r="AC341" s="37"/>
      <c r="AD341" s="37" t="s">
        <v>31</v>
      </c>
      <c r="AE341" s="37"/>
      <c r="AH341" s="17"/>
      <c r="AI341" s="17" t="b">
        <f t="shared" si="18"/>
        <v>1</v>
      </c>
      <c r="AJ341" s="17" t="b">
        <f t="shared" si="19"/>
        <v>1</v>
      </c>
      <c r="AK341" s="17" t="str">
        <f t="shared" si="20"/>
        <v>EM00000000</v>
      </c>
    </row>
    <row r="342" spans="1:37" ht="13.15" customHeight="1" x14ac:dyDescent="0.25">
      <c r="A342" s="75" t="str">
        <f>_xlfn.XLOOKUP(C342,[1]Sheet2!$D:$D,[1]Sheet2!$C:$C)</f>
        <v>EM00016460</v>
      </c>
      <c r="B342" s="37">
        <v>1330</v>
      </c>
      <c r="C342" s="37" t="s">
        <v>567</v>
      </c>
      <c r="D342" s="37">
        <v>1</v>
      </c>
      <c r="E342" s="47" t="s">
        <v>205</v>
      </c>
      <c r="F342" s="48">
        <v>46266</v>
      </c>
      <c r="G342" s="48">
        <v>46295</v>
      </c>
      <c r="H342" s="37" t="s">
        <v>736</v>
      </c>
      <c r="I342" s="37" t="s">
        <v>567</v>
      </c>
      <c r="J342" s="37" t="s">
        <v>31</v>
      </c>
      <c r="K342" s="37" t="s">
        <v>568</v>
      </c>
      <c r="L342" s="37"/>
      <c r="M342" s="37"/>
      <c r="N342" s="37" t="s">
        <v>677</v>
      </c>
      <c r="O342" s="37" t="s">
        <v>581</v>
      </c>
      <c r="P342" s="51" t="s">
        <v>31</v>
      </c>
      <c r="Q342" s="37"/>
      <c r="R342" s="37" t="s">
        <v>31</v>
      </c>
      <c r="S342" s="37"/>
      <c r="T342" s="37"/>
      <c r="U342" s="37"/>
      <c r="V342" s="37" t="s">
        <v>202</v>
      </c>
      <c r="W342" s="37" t="s">
        <v>203</v>
      </c>
      <c r="X342" s="37" t="s">
        <v>31</v>
      </c>
      <c r="Y342" s="37"/>
      <c r="Z342" s="37" t="s">
        <v>31</v>
      </c>
      <c r="AA342" s="37"/>
      <c r="AB342" s="37" t="s">
        <v>31</v>
      </c>
      <c r="AC342" s="37"/>
      <c r="AD342" s="37" t="s">
        <v>31</v>
      </c>
      <c r="AE342" s="37"/>
      <c r="AH342" s="17"/>
      <c r="AI342" s="17" t="b">
        <f t="shared" si="18"/>
        <v>1</v>
      </c>
      <c r="AJ342" s="17" t="b">
        <f t="shared" si="19"/>
        <v>1</v>
      </c>
      <c r="AK342" s="17" t="str">
        <f t="shared" si="20"/>
        <v>EM00000000</v>
      </c>
    </row>
    <row r="343" spans="1:37" ht="13.15" customHeight="1" x14ac:dyDescent="0.25">
      <c r="A343" s="75" t="str">
        <f>_xlfn.XLOOKUP(C343,[1]Sheet2!$D:$D,[1]Sheet2!$C:$C)</f>
        <v>EM00000000</v>
      </c>
      <c r="B343" s="37">
        <v>1330</v>
      </c>
      <c r="C343" s="37" t="s">
        <v>737</v>
      </c>
      <c r="D343" s="37">
        <v>1</v>
      </c>
      <c r="E343" s="47" t="s">
        <v>205</v>
      </c>
      <c r="F343" s="48">
        <v>46266</v>
      </c>
      <c r="G343" s="48">
        <v>46295</v>
      </c>
      <c r="H343" s="37" t="s">
        <v>31</v>
      </c>
      <c r="I343" s="37" t="s">
        <v>737</v>
      </c>
      <c r="J343" s="37" t="s">
        <v>31</v>
      </c>
      <c r="K343" s="37" t="s">
        <v>568</v>
      </c>
      <c r="L343" s="37"/>
      <c r="M343" s="37"/>
      <c r="N343" s="37" t="s">
        <v>677</v>
      </c>
      <c r="O343" s="37" t="s">
        <v>581</v>
      </c>
      <c r="P343" s="52" t="s">
        <v>31</v>
      </c>
      <c r="Q343" s="37"/>
      <c r="R343" s="37" t="s">
        <v>31</v>
      </c>
      <c r="S343" s="37"/>
      <c r="T343" s="37"/>
      <c r="U343" s="37"/>
      <c r="V343" s="37" t="s">
        <v>202</v>
      </c>
      <c r="W343" s="37" t="s">
        <v>203</v>
      </c>
      <c r="X343" s="37" t="s">
        <v>31</v>
      </c>
      <c r="Y343" s="37"/>
      <c r="Z343" s="37" t="s">
        <v>31</v>
      </c>
      <c r="AA343" s="37"/>
      <c r="AB343" s="37" t="s">
        <v>31</v>
      </c>
      <c r="AC343" s="37"/>
      <c r="AD343" s="37" t="s">
        <v>31</v>
      </c>
      <c r="AE343" s="37"/>
      <c r="AH343" s="17"/>
      <c r="AI343" s="17" t="b">
        <f t="shared" si="18"/>
        <v>1</v>
      </c>
      <c r="AJ343" s="17" t="b">
        <f t="shared" si="19"/>
        <v>1</v>
      </c>
      <c r="AK343" s="17" t="str">
        <f t="shared" si="20"/>
        <v>EM00000000</v>
      </c>
    </row>
    <row r="344" spans="1:37" ht="13.15" customHeight="1" x14ac:dyDescent="0.25">
      <c r="A344" s="75" t="str">
        <f>_xlfn.XLOOKUP(C344,[1]Sheet2!$D:$D,[1]Sheet2!$C:$C)</f>
        <v>EM00000000</v>
      </c>
      <c r="B344" s="37">
        <v>1330</v>
      </c>
      <c r="C344" s="37" t="s">
        <v>738</v>
      </c>
      <c r="D344" s="37">
        <v>1</v>
      </c>
      <c r="E344" s="47" t="s">
        <v>205</v>
      </c>
      <c r="F344" s="48">
        <v>46266</v>
      </c>
      <c r="G344" s="48">
        <v>46295</v>
      </c>
      <c r="H344" s="37" t="s">
        <v>31</v>
      </c>
      <c r="I344" s="37" t="s">
        <v>738</v>
      </c>
      <c r="J344" s="37" t="s">
        <v>31</v>
      </c>
      <c r="K344" s="37" t="s">
        <v>568</v>
      </c>
      <c r="L344" s="37"/>
      <c r="M344" s="37"/>
      <c r="N344" s="37" t="s">
        <v>677</v>
      </c>
      <c r="O344" s="37" t="s">
        <v>581</v>
      </c>
      <c r="P344" s="37" t="s">
        <v>31</v>
      </c>
      <c r="Q344" s="37"/>
      <c r="R344" s="37" t="s">
        <v>31</v>
      </c>
      <c r="S344" s="37"/>
      <c r="T344" s="37"/>
      <c r="U344" s="37"/>
      <c r="V344" s="37" t="s">
        <v>202</v>
      </c>
      <c r="W344" s="37" t="s">
        <v>203</v>
      </c>
      <c r="X344" s="37" t="s">
        <v>31</v>
      </c>
      <c r="Y344" s="37"/>
      <c r="Z344" s="37" t="s">
        <v>31</v>
      </c>
      <c r="AA344" s="37"/>
      <c r="AB344" s="37" t="s">
        <v>31</v>
      </c>
      <c r="AC344" s="37"/>
      <c r="AD344" s="37" t="s">
        <v>31</v>
      </c>
      <c r="AE344" s="37"/>
      <c r="AH344" s="17"/>
      <c r="AI344" s="17" t="b">
        <f t="shared" si="18"/>
        <v>1</v>
      </c>
      <c r="AJ344" s="17" t="b">
        <f t="shared" si="19"/>
        <v>1</v>
      </c>
      <c r="AK344" s="17" t="str">
        <f t="shared" si="20"/>
        <v>EM00000000</v>
      </c>
    </row>
    <row r="345" spans="1:37" ht="13.15" customHeight="1" x14ac:dyDescent="0.25">
      <c r="A345" s="75" t="str">
        <f>_xlfn.XLOOKUP(C345,[1]Sheet2!$D:$D,[1]Sheet2!$C:$C)</f>
        <v>EM00000000</v>
      </c>
      <c r="B345" s="37">
        <v>1330</v>
      </c>
      <c r="C345" s="37" t="s">
        <v>568</v>
      </c>
      <c r="D345" s="37">
        <v>2</v>
      </c>
      <c r="E345" s="47" t="s">
        <v>205</v>
      </c>
      <c r="F345" s="48">
        <v>46266</v>
      </c>
      <c r="G345" s="48">
        <v>46295</v>
      </c>
      <c r="H345" s="37"/>
      <c r="I345" s="37"/>
      <c r="J345" s="37" t="s">
        <v>31</v>
      </c>
      <c r="K345" s="37" t="s">
        <v>568</v>
      </c>
      <c r="L345" s="37"/>
      <c r="M345" s="37"/>
      <c r="N345" s="37" t="s">
        <v>677</v>
      </c>
      <c r="O345" s="37" t="s">
        <v>581</v>
      </c>
      <c r="P345" s="37" t="s">
        <v>31</v>
      </c>
      <c r="Q345" s="37"/>
      <c r="R345" s="37" t="s">
        <v>31</v>
      </c>
      <c r="S345" s="37"/>
      <c r="T345" s="37"/>
      <c r="U345" s="37"/>
      <c r="V345" s="37" t="s">
        <v>202</v>
      </c>
      <c r="W345" s="37" t="s">
        <v>203</v>
      </c>
      <c r="X345" s="37" t="s">
        <v>31</v>
      </c>
      <c r="Y345" s="37"/>
      <c r="Z345" s="37" t="s">
        <v>31</v>
      </c>
      <c r="AA345" s="37"/>
      <c r="AB345" s="37" t="s">
        <v>31</v>
      </c>
      <c r="AC345" s="37"/>
      <c r="AD345" s="37" t="s">
        <v>31</v>
      </c>
      <c r="AE345" s="37"/>
      <c r="AH345" s="17"/>
      <c r="AI345" s="17" t="b">
        <f t="shared" si="18"/>
        <v>1</v>
      </c>
      <c r="AJ345" s="17" t="b">
        <f t="shared" si="19"/>
        <v>1</v>
      </c>
      <c r="AK345" s="17" t="str">
        <f t="shared" si="20"/>
        <v>EM00016426</v>
      </c>
    </row>
    <row r="346" spans="1:37" ht="13.15" customHeight="1" x14ac:dyDescent="0.25">
      <c r="A346" s="75" t="str">
        <f>_xlfn.XLOOKUP(C346,[1]Sheet2!$D:$D,[1]Sheet2!$C:$C)</f>
        <v>EM00016410</v>
      </c>
      <c r="B346" s="37">
        <v>1321</v>
      </c>
      <c r="C346" s="37" t="s">
        <v>569</v>
      </c>
      <c r="D346" s="37">
        <v>1</v>
      </c>
      <c r="E346" s="47" t="s">
        <v>205</v>
      </c>
      <c r="F346" s="48">
        <v>46266</v>
      </c>
      <c r="G346" s="48">
        <v>46295</v>
      </c>
      <c r="H346" s="37" t="s">
        <v>670</v>
      </c>
      <c r="I346" s="37" t="s">
        <v>569</v>
      </c>
      <c r="J346" s="37" t="s">
        <v>31</v>
      </c>
      <c r="K346" s="37" t="s">
        <v>574</v>
      </c>
      <c r="L346" s="37"/>
      <c r="M346" s="37"/>
      <c r="N346" s="37" t="s">
        <v>677</v>
      </c>
      <c r="O346" s="37" t="s">
        <v>581</v>
      </c>
      <c r="P346" s="51" t="s">
        <v>31</v>
      </c>
      <c r="Q346" s="37"/>
      <c r="R346" s="37" t="s">
        <v>31</v>
      </c>
      <c r="S346" s="37"/>
      <c r="T346" s="37"/>
      <c r="U346" s="37"/>
      <c r="V346" s="37" t="s">
        <v>202</v>
      </c>
      <c r="W346" s="37" t="s">
        <v>203</v>
      </c>
      <c r="X346" s="37" t="s">
        <v>31</v>
      </c>
      <c r="Y346" s="37"/>
      <c r="Z346" s="37" t="s">
        <v>31</v>
      </c>
      <c r="AA346" s="37"/>
      <c r="AB346" s="37" t="s">
        <v>31</v>
      </c>
      <c r="AC346" s="37"/>
      <c r="AD346" s="37" t="s">
        <v>31</v>
      </c>
      <c r="AE346" s="37"/>
      <c r="AH346" s="17"/>
      <c r="AI346" s="17" t="b">
        <f t="shared" si="18"/>
        <v>1</v>
      </c>
      <c r="AJ346" s="17" t="b">
        <f t="shared" si="19"/>
        <v>1</v>
      </c>
      <c r="AK346" s="17" t="str">
        <f t="shared" si="20"/>
        <v>EM00000000</v>
      </c>
    </row>
    <row r="347" spans="1:37" ht="13.15" customHeight="1" x14ac:dyDescent="0.25">
      <c r="A347" s="75" t="str">
        <f>_xlfn.XLOOKUP(C347,[1]Sheet2!$D:$D,[1]Sheet2!$C:$C)</f>
        <v>EM00016462</v>
      </c>
      <c r="B347" s="37">
        <v>1321</v>
      </c>
      <c r="C347" s="37" t="s">
        <v>570</v>
      </c>
      <c r="D347" s="37">
        <v>1</v>
      </c>
      <c r="E347" s="47" t="s">
        <v>205</v>
      </c>
      <c r="F347" s="48">
        <v>46266</v>
      </c>
      <c r="G347" s="48">
        <v>46295</v>
      </c>
      <c r="H347" s="37" t="s">
        <v>739</v>
      </c>
      <c r="I347" s="37" t="s">
        <v>570</v>
      </c>
      <c r="J347" s="37" t="s">
        <v>31</v>
      </c>
      <c r="K347" s="37" t="s">
        <v>574</v>
      </c>
      <c r="L347" s="37"/>
      <c r="M347" s="37"/>
      <c r="N347" s="37" t="s">
        <v>677</v>
      </c>
      <c r="O347" s="37" t="s">
        <v>581</v>
      </c>
      <c r="P347" s="51" t="s">
        <v>31</v>
      </c>
      <c r="Q347" s="37"/>
      <c r="R347" s="37" t="s">
        <v>31</v>
      </c>
      <c r="S347" s="37"/>
      <c r="T347" s="37"/>
      <c r="U347" s="37"/>
      <c r="V347" s="37" t="s">
        <v>202</v>
      </c>
      <c r="W347" s="37" t="s">
        <v>203</v>
      </c>
      <c r="X347" s="37" t="s">
        <v>31</v>
      </c>
      <c r="Y347" s="37"/>
      <c r="Z347" s="37" t="s">
        <v>31</v>
      </c>
      <c r="AA347" s="37"/>
      <c r="AB347" s="37" t="s">
        <v>31</v>
      </c>
      <c r="AC347" s="37"/>
      <c r="AD347" s="37" t="s">
        <v>31</v>
      </c>
      <c r="AE347" s="37"/>
      <c r="AH347" s="17"/>
      <c r="AI347" s="17" t="b">
        <f t="shared" si="18"/>
        <v>1</v>
      </c>
      <c r="AJ347" s="17" t="b">
        <f t="shared" si="19"/>
        <v>1</v>
      </c>
      <c r="AK347" s="17" t="str">
        <f t="shared" si="20"/>
        <v>EM00000000</v>
      </c>
    </row>
    <row r="348" spans="1:37" ht="13.15" customHeight="1" x14ac:dyDescent="0.25">
      <c r="A348" s="75" t="str">
        <f>_xlfn.XLOOKUP(C348,[1]Sheet2!$D:$D,[1]Sheet2!$C:$C)</f>
        <v>EM00000000</v>
      </c>
      <c r="B348" s="37">
        <v>1321</v>
      </c>
      <c r="C348" s="37" t="s">
        <v>571</v>
      </c>
      <c r="D348" s="37">
        <v>1</v>
      </c>
      <c r="E348" s="47" t="s">
        <v>205</v>
      </c>
      <c r="F348" s="48">
        <v>46266</v>
      </c>
      <c r="G348" s="48">
        <v>46295</v>
      </c>
      <c r="H348" s="37" t="s">
        <v>31</v>
      </c>
      <c r="I348" s="37" t="s">
        <v>571</v>
      </c>
      <c r="J348" s="37" t="s">
        <v>31</v>
      </c>
      <c r="K348" s="37" t="s">
        <v>574</v>
      </c>
      <c r="L348" s="37"/>
      <c r="M348" s="37"/>
      <c r="N348" s="37" t="s">
        <v>677</v>
      </c>
      <c r="O348" s="37" t="s">
        <v>581</v>
      </c>
      <c r="P348" s="52" t="s">
        <v>31</v>
      </c>
      <c r="Q348" s="37"/>
      <c r="R348" s="37" t="s">
        <v>31</v>
      </c>
      <c r="S348" s="37"/>
      <c r="T348" s="37"/>
      <c r="U348" s="37"/>
      <c r="V348" s="37" t="s">
        <v>202</v>
      </c>
      <c r="W348" s="37" t="s">
        <v>203</v>
      </c>
      <c r="X348" s="37" t="s">
        <v>31</v>
      </c>
      <c r="Y348" s="37"/>
      <c r="Z348" s="37" t="s">
        <v>31</v>
      </c>
      <c r="AA348" s="37"/>
      <c r="AB348" s="37" t="s">
        <v>31</v>
      </c>
      <c r="AC348" s="37"/>
      <c r="AD348" s="37" t="s">
        <v>31</v>
      </c>
      <c r="AE348" s="37"/>
      <c r="AH348" s="17"/>
      <c r="AI348" s="17" t="b">
        <f t="shared" si="18"/>
        <v>1</v>
      </c>
      <c r="AJ348" s="17" t="b">
        <f t="shared" si="19"/>
        <v>1</v>
      </c>
      <c r="AK348" s="17" t="str">
        <f t="shared" si="20"/>
        <v>EM00000000</v>
      </c>
    </row>
    <row r="349" spans="1:37" ht="13.15" customHeight="1" x14ac:dyDescent="0.25">
      <c r="A349" s="75" t="str">
        <f>_xlfn.XLOOKUP(C349,[1]Sheet2!$D:$D,[1]Sheet2!$C:$C)</f>
        <v>EM00016415</v>
      </c>
      <c r="B349" s="37">
        <v>1321</v>
      </c>
      <c r="C349" s="37" t="s">
        <v>572</v>
      </c>
      <c r="D349" s="37">
        <v>1</v>
      </c>
      <c r="E349" s="47" t="s">
        <v>205</v>
      </c>
      <c r="F349" s="48">
        <v>46266</v>
      </c>
      <c r="G349" s="48">
        <v>46295</v>
      </c>
      <c r="H349" s="37" t="s">
        <v>671</v>
      </c>
      <c r="I349" s="37" t="s">
        <v>572</v>
      </c>
      <c r="J349" s="37" t="s">
        <v>31</v>
      </c>
      <c r="K349" s="37" t="s">
        <v>574</v>
      </c>
      <c r="L349" s="37"/>
      <c r="M349" s="37"/>
      <c r="N349" s="37" t="s">
        <v>677</v>
      </c>
      <c r="O349" s="37" t="s">
        <v>581</v>
      </c>
      <c r="P349" s="37" t="s">
        <v>31</v>
      </c>
      <c r="Q349" s="37"/>
      <c r="R349" s="37" t="s">
        <v>31</v>
      </c>
      <c r="S349" s="37"/>
      <c r="T349" s="37"/>
      <c r="U349" s="37"/>
      <c r="V349" s="37" t="s">
        <v>202</v>
      </c>
      <c r="W349" s="37" t="s">
        <v>203</v>
      </c>
      <c r="X349" s="37" t="s">
        <v>31</v>
      </c>
      <c r="Y349" s="37"/>
      <c r="Z349" s="37" t="s">
        <v>31</v>
      </c>
      <c r="AA349" s="37"/>
      <c r="AB349" s="37" t="s">
        <v>31</v>
      </c>
      <c r="AC349" s="37"/>
      <c r="AD349" s="37" t="s">
        <v>31</v>
      </c>
      <c r="AE349" s="37"/>
      <c r="AH349" s="17"/>
      <c r="AI349" s="17" t="b">
        <f t="shared" si="18"/>
        <v>1</v>
      </c>
      <c r="AJ349" s="17" t="b">
        <f t="shared" si="19"/>
        <v>1</v>
      </c>
      <c r="AK349" s="17" t="str">
        <f t="shared" si="20"/>
        <v>EM00000000</v>
      </c>
    </row>
    <row r="350" spans="1:37" ht="13.15" customHeight="1" x14ac:dyDescent="0.25">
      <c r="A350" s="75" t="str">
        <f>_xlfn.XLOOKUP(C350,[1]Sheet2!$D:$D,[1]Sheet2!$C:$C)</f>
        <v>EM00016397</v>
      </c>
      <c r="B350" s="37">
        <v>1321</v>
      </c>
      <c r="C350" s="37" t="s">
        <v>573</v>
      </c>
      <c r="D350" s="37">
        <v>1</v>
      </c>
      <c r="E350" s="47" t="s">
        <v>205</v>
      </c>
      <c r="F350" s="48">
        <v>46266</v>
      </c>
      <c r="G350" s="48">
        <v>46295</v>
      </c>
      <c r="H350" s="37" t="s">
        <v>672</v>
      </c>
      <c r="I350" s="37" t="s">
        <v>573</v>
      </c>
      <c r="J350" s="37" t="s">
        <v>31</v>
      </c>
      <c r="K350" s="37" t="s">
        <v>574</v>
      </c>
      <c r="L350" s="37"/>
      <c r="M350" s="37"/>
      <c r="N350" s="37" t="s">
        <v>677</v>
      </c>
      <c r="O350" s="37" t="s">
        <v>581</v>
      </c>
      <c r="P350" s="37" t="s">
        <v>31</v>
      </c>
      <c r="Q350" s="37"/>
      <c r="R350" s="37" t="s">
        <v>31</v>
      </c>
      <c r="S350" s="37"/>
      <c r="T350" s="37"/>
      <c r="U350" s="37"/>
      <c r="V350" s="37" t="s">
        <v>202</v>
      </c>
      <c r="W350" s="37" t="s">
        <v>203</v>
      </c>
      <c r="X350" s="37" t="s">
        <v>31</v>
      </c>
      <c r="Y350" s="37"/>
      <c r="Z350" s="37" t="s">
        <v>31</v>
      </c>
      <c r="AA350" s="37"/>
      <c r="AB350" s="37" t="s">
        <v>31</v>
      </c>
      <c r="AC350" s="37"/>
      <c r="AD350" s="37" t="s">
        <v>31</v>
      </c>
      <c r="AE350" s="37"/>
      <c r="AH350" s="17"/>
      <c r="AI350" s="17" t="b">
        <f t="shared" si="18"/>
        <v>1</v>
      </c>
      <c r="AJ350" s="17" t="b">
        <f t="shared" si="19"/>
        <v>1</v>
      </c>
      <c r="AK350" s="17" t="str">
        <f t="shared" si="20"/>
        <v>EM00000000</v>
      </c>
    </row>
    <row r="351" spans="1:37" ht="13.15" customHeight="1" x14ac:dyDescent="0.25">
      <c r="A351" s="75" t="str">
        <f>_xlfn.XLOOKUP(C351,[1]Sheet2!$D:$D,[1]Sheet2!$C:$C)</f>
        <v>EM00016485</v>
      </c>
      <c r="B351" s="37">
        <v>1321</v>
      </c>
      <c r="C351" s="37" t="s">
        <v>574</v>
      </c>
      <c r="D351" s="37">
        <v>2</v>
      </c>
      <c r="E351" s="47" t="s">
        <v>205</v>
      </c>
      <c r="F351" s="48">
        <v>46266</v>
      </c>
      <c r="G351" s="48">
        <v>46295</v>
      </c>
      <c r="H351" s="37"/>
      <c r="I351" s="37"/>
      <c r="J351" s="37" t="s">
        <v>940</v>
      </c>
      <c r="K351" s="37" t="s">
        <v>574</v>
      </c>
      <c r="L351" s="37"/>
      <c r="M351" s="37"/>
      <c r="N351" s="37" t="s">
        <v>677</v>
      </c>
      <c r="O351" s="37" t="s">
        <v>581</v>
      </c>
      <c r="P351" s="51" t="s">
        <v>31</v>
      </c>
      <c r="Q351" s="37"/>
      <c r="R351" s="37" t="s">
        <v>31</v>
      </c>
      <c r="S351" s="37"/>
      <c r="T351" s="37"/>
      <c r="U351" s="37"/>
      <c r="V351" s="37" t="s">
        <v>202</v>
      </c>
      <c r="W351" s="37" t="s">
        <v>203</v>
      </c>
      <c r="X351" s="37" t="s">
        <v>31</v>
      </c>
      <c r="Y351" s="37"/>
      <c r="Z351" s="37" t="s">
        <v>31</v>
      </c>
      <c r="AA351" s="37"/>
      <c r="AB351" s="37" t="s">
        <v>31</v>
      </c>
      <c r="AC351" s="37"/>
      <c r="AD351" s="37" t="s">
        <v>31</v>
      </c>
      <c r="AE351" s="37"/>
      <c r="AH351" s="17"/>
      <c r="AI351" s="17" t="b">
        <f t="shared" si="18"/>
        <v>1</v>
      </c>
      <c r="AJ351" s="17" t="b">
        <f t="shared" si="19"/>
        <v>1</v>
      </c>
      <c r="AK351" s="17" t="str">
        <f t="shared" si="20"/>
        <v>EM00016426</v>
      </c>
    </row>
    <row r="352" spans="1:37" ht="13.15" customHeight="1" x14ac:dyDescent="0.25">
      <c r="A352" s="75" t="str">
        <f>_xlfn.XLOOKUP(C352,[1]Sheet2!$D:$D,[1]Sheet2!$C:$C)</f>
        <v>EM00016409</v>
      </c>
      <c r="B352" s="37">
        <v>1321</v>
      </c>
      <c r="C352" s="37" t="s">
        <v>575</v>
      </c>
      <c r="D352" s="37">
        <v>1</v>
      </c>
      <c r="E352" s="47" t="s">
        <v>205</v>
      </c>
      <c r="F352" s="48">
        <v>46266</v>
      </c>
      <c r="G352" s="48">
        <v>46295</v>
      </c>
      <c r="H352" s="37" t="s">
        <v>673</v>
      </c>
      <c r="I352" s="37" t="s">
        <v>575</v>
      </c>
      <c r="J352" s="37" t="s">
        <v>31</v>
      </c>
      <c r="K352" s="37" t="s">
        <v>580</v>
      </c>
      <c r="L352" s="37"/>
      <c r="M352" s="37"/>
      <c r="N352" s="37" t="s">
        <v>677</v>
      </c>
      <c r="O352" s="37" t="s">
        <v>581</v>
      </c>
      <c r="P352" s="51" t="s">
        <v>31</v>
      </c>
      <c r="Q352" s="37"/>
      <c r="R352" s="37" t="s">
        <v>31</v>
      </c>
      <c r="S352" s="37"/>
      <c r="T352" s="37"/>
      <c r="U352" s="37"/>
      <c r="V352" s="37" t="s">
        <v>202</v>
      </c>
      <c r="W352" s="37" t="s">
        <v>203</v>
      </c>
      <c r="X352" s="37" t="s">
        <v>31</v>
      </c>
      <c r="Y352" s="37"/>
      <c r="Z352" s="37" t="s">
        <v>31</v>
      </c>
      <c r="AA352" s="37"/>
      <c r="AB352" s="37" t="s">
        <v>31</v>
      </c>
      <c r="AC352" s="37"/>
      <c r="AD352" s="37" t="s">
        <v>31</v>
      </c>
      <c r="AE352" s="37"/>
      <c r="AH352" s="17"/>
      <c r="AI352" s="17" t="b">
        <f t="shared" si="18"/>
        <v>1</v>
      </c>
      <c r="AJ352" s="17" t="b">
        <f t="shared" si="19"/>
        <v>1</v>
      </c>
      <c r="AK352" s="17" t="str">
        <f t="shared" si="20"/>
        <v>EM00000000</v>
      </c>
    </row>
    <row r="353" spans="1:37" ht="13.15" customHeight="1" x14ac:dyDescent="0.25">
      <c r="A353" s="75" t="str">
        <f>_xlfn.XLOOKUP(C353,[1]Sheet2!$D:$D,[1]Sheet2!$C:$C)</f>
        <v>EM00016254</v>
      </c>
      <c r="B353" s="37">
        <v>1321</v>
      </c>
      <c r="C353" s="37" t="s">
        <v>576</v>
      </c>
      <c r="D353" s="37">
        <v>1</v>
      </c>
      <c r="E353" s="47" t="s">
        <v>205</v>
      </c>
      <c r="F353" s="48">
        <v>46266</v>
      </c>
      <c r="G353" s="48">
        <v>46295</v>
      </c>
      <c r="H353" s="37" t="s">
        <v>467</v>
      </c>
      <c r="I353" s="37" t="s">
        <v>576</v>
      </c>
      <c r="J353" s="37" t="s">
        <v>31</v>
      </c>
      <c r="K353" s="37" t="s">
        <v>580</v>
      </c>
      <c r="L353" s="37"/>
      <c r="M353" s="37"/>
      <c r="N353" s="37" t="s">
        <v>677</v>
      </c>
      <c r="O353" s="37" t="s">
        <v>581</v>
      </c>
      <c r="P353" s="52" t="s">
        <v>31</v>
      </c>
      <c r="Q353" s="37"/>
      <c r="R353" s="37" t="s">
        <v>31</v>
      </c>
      <c r="S353" s="37"/>
      <c r="T353" s="37"/>
      <c r="U353" s="37"/>
      <c r="V353" s="37" t="s">
        <v>202</v>
      </c>
      <c r="W353" s="37" t="s">
        <v>203</v>
      </c>
      <c r="X353" s="37" t="s">
        <v>31</v>
      </c>
      <c r="Y353" s="37"/>
      <c r="Z353" s="37" t="s">
        <v>31</v>
      </c>
      <c r="AA353" s="37"/>
      <c r="AB353" s="37" t="s">
        <v>31</v>
      </c>
      <c r="AC353" s="37"/>
      <c r="AD353" s="37" t="s">
        <v>31</v>
      </c>
      <c r="AE353" s="37"/>
      <c r="AH353" s="17"/>
      <c r="AI353" s="17" t="b">
        <f t="shared" si="18"/>
        <v>1</v>
      </c>
      <c r="AJ353" s="17" t="b">
        <f t="shared" si="19"/>
        <v>1</v>
      </c>
      <c r="AK353" s="17" t="str">
        <f t="shared" si="20"/>
        <v>EM00000000</v>
      </c>
    </row>
    <row r="354" spans="1:37" ht="13.15" customHeight="1" x14ac:dyDescent="0.25">
      <c r="A354" s="75" t="str">
        <f>_xlfn.XLOOKUP(C354,[1]Sheet2!$D:$D,[1]Sheet2!$C:$C)</f>
        <v>EM00016424</v>
      </c>
      <c r="B354" s="37">
        <v>1321</v>
      </c>
      <c r="C354" s="37" t="s">
        <v>577</v>
      </c>
      <c r="D354" s="37">
        <v>1</v>
      </c>
      <c r="E354" s="47" t="s">
        <v>205</v>
      </c>
      <c r="F354" s="48">
        <v>46266</v>
      </c>
      <c r="G354" s="48">
        <v>46295</v>
      </c>
      <c r="H354" s="37" t="s">
        <v>674</v>
      </c>
      <c r="I354" s="37" t="s">
        <v>577</v>
      </c>
      <c r="J354" s="37" t="s">
        <v>31</v>
      </c>
      <c r="K354" s="37" t="s">
        <v>580</v>
      </c>
      <c r="L354" s="37"/>
      <c r="M354" s="37"/>
      <c r="N354" s="37" t="s">
        <v>677</v>
      </c>
      <c r="O354" s="37" t="s">
        <v>581</v>
      </c>
      <c r="P354" s="37" t="s">
        <v>31</v>
      </c>
      <c r="Q354" s="37"/>
      <c r="R354" s="37" t="s">
        <v>31</v>
      </c>
      <c r="S354" s="37"/>
      <c r="T354" s="37"/>
      <c r="U354" s="37"/>
      <c r="V354" s="37" t="s">
        <v>202</v>
      </c>
      <c r="W354" s="37" t="s">
        <v>203</v>
      </c>
      <c r="X354" s="37" t="s">
        <v>31</v>
      </c>
      <c r="Y354" s="37"/>
      <c r="Z354" s="37" t="s">
        <v>31</v>
      </c>
      <c r="AA354" s="37"/>
      <c r="AB354" s="37" t="s">
        <v>31</v>
      </c>
      <c r="AC354" s="37"/>
      <c r="AD354" s="37" t="s">
        <v>31</v>
      </c>
      <c r="AE354" s="37"/>
      <c r="AH354" s="17"/>
      <c r="AI354" s="17" t="b">
        <f t="shared" si="18"/>
        <v>1</v>
      </c>
      <c r="AJ354" s="17" t="b">
        <f t="shared" si="19"/>
        <v>1</v>
      </c>
      <c r="AK354" s="17" t="str">
        <f t="shared" si="20"/>
        <v>EM00000000</v>
      </c>
    </row>
    <row r="355" spans="1:37" ht="13.15" customHeight="1" x14ac:dyDescent="0.25">
      <c r="A355" s="75" t="str">
        <f>_xlfn.XLOOKUP(C355,[1]Sheet2!$D:$D,[1]Sheet2!$C:$C)</f>
        <v>EM00016411</v>
      </c>
      <c r="B355" s="37">
        <v>1321</v>
      </c>
      <c r="C355" s="37" t="s">
        <v>578</v>
      </c>
      <c r="D355" s="37">
        <v>1</v>
      </c>
      <c r="E355" s="47" t="s">
        <v>205</v>
      </c>
      <c r="F355" s="48">
        <v>46266</v>
      </c>
      <c r="G355" s="48">
        <v>46295</v>
      </c>
      <c r="H355" s="37" t="s">
        <v>675</v>
      </c>
      <c r="I355" s="37" t="s">
        <v>578</v>
      </c>
      <c r="J355" s="37" t="s">
        <v>31</v>
      </c>
      <c r="K355" s="37" t="s">
        <v>580</v>
      </c>
      <c r="L355" s="37"/>
      <c r="M355" s="37"/>
      <c r="N355" s="37" t="s">
        <v>677</v>
      </c>
      <c r="O355" s="37" t="s">
        <v>581</v>
      </c>
      <c r="P355" s="37" t="s">
        <v>31</v>
      </c>
      <c r="Q355" s="37"/>
      <c r="R355" s="37" t="s">
        <v>31</v>
      </c>
      <c r="S355" s="37"/>
      <c r="T355" s="37"/>
      <c r="U355" s="37"/>
      <c r="V355" s="37" t="s">
        <v>202</v>
      </c>
      <c r="W355" s="37" t="s">
        <v>203</v>
      </c>
      <c r="X355" s="37" t="s">
        <v>31</v>
      </c>
      <c r="Y355" s="37"/>
      <c r="Z355" s="37" t="s">
        <v>31</v>
      </c>
      <c r="AA355" s="37"/>
      <c r="AB355" s="37" t="s">
        <v>31</v>
      </c>
      <c r="AC355" s="37"/>
      <c r="AD355" s="37" t="s">
        <v>31</v>
      </c>
      <c r="AE355" s="37"/>
      <c r="AH355" s="17"/>
      <c r="AI355" s="17" t="b">
        <f t="shared" si="18"/>
        <v>1</v>
      </c>
      <c r="AJ355" s="17" t="b">
        <f t="shared" si="19"/>
        <v>1</v>
      </c>
      <c r="AK355" s="17" t="str">
        <f t="shared" si="20"/>
        <v>EM00000000</v>
      </c>
    </row>
    <row r="356" spans="1:37" ht="13.15" customHeight="1" x14ac:dyDescent="0.25">
      <c r="A356" s="75" t="str">
        <f>_xlfn.XLOOKUP(C356,[1]Sheet2!$D:$D,[1]Sheet2!$C:$C)</f>
        <v>EM00016418</v>
      </c>
      <c r="B356" s="37">
        <v>1321</v>
      </c>
      <c r="C356" s="37" t="s">
        <v>579</v>
      </c>
      <c r="D356" s="37">
        <v>1</v>
      </c>
      <c r="E356" s="47" t="s">
        <v>205</v>
      </c>
      <c r="F356" s="48">
        <v>46266</v>
      </c>
      <c r="G356" s="48">
        <v>46295</v>
      </c>
      <c r="H356" s="37" t="s">
        <v>676</v>
      </c>
      <c r="I356" s="37" t="s">
        <v>579</v>
      </c>
      <c r="J356" s="37" t="s">
        <v>31</v>
      </c>
      <c r="K356" s="37" t="s">
        <v>580</v>
      </c>
      <c r="L356" s="37"/>
      <c r="M356" s="37"/>
      <c r="N356" s="37" t="s">
        <v>677</v>
      </c>
      <c r="O356" s="37" t="s">
        <v>581</v>
      </c>
      <c r="P356" s="51" t="s">
        <v>31</v>
      </c>
      <c r="Q356" s="37"/>
      <c r="R356" s="37" t="s">
        <v>31</v>
      </c>
      <c r="S356" s="37"/>
      <c r="T356" s="37"/>
      <c r="U356" s="37"/>
      <c r="V356" s="37" t="s">
        <v>202</v>
      </c>
      <c r="W356" s="37" t="s">
        <v>203</v>
      </c>
      <c r="X356" s="37" t="s">
        <v>31</v>
      </c>
      <c r="Y356" s="37"/>
      <c r="Z356" s="37" t="s">
        <v>31</v>
      </c>
      <c r="AA356" s="37"/>
      <c r="AB356" s="37" t="s">
        <v>31</v>
      </c>
      <c r="AC356" s="37"/>
      <c r="AD356" s="37" t="s">
        <v>31</v>
      </c>
      <c r="AE356" s="37"/>
      <c r="AH356" s="17"/>
      <c r="AI356" s="17" t="b">
        <f t="shared" si="18"/>
        <v>1</v>
      </c>
      <c r="AJ356" s="17" t="b">
        <f t="shared" si="19"/>
        <v>1</v>
      </c>
      <c r="AK356" s="17" t="str">
        <f t="shared" si="20"/>
        <v>EM00000000</v>
      </c>
    </row>
    <row r="357" spans="1:37" ht="13.15" customHeight="1" x14ac:dyDescent="0.25">
      <c r="A357" s="75" t="str">
        <f>_xlfn.XLOOKUP(C357,[1]Sheet2!$D:$D,[1]Sheet2!$C:$C)</f>
        <v>EM00016465</v>
      </c>
      <c r="B357" s="37">
        <v>1321</v>
      </c>
      <c r="C357" s="37" t="s">
        <v>580</v>
      </c>
      <c r="D357" s="37">
        <v>2</v>
      </c>
      <c r="E357" s="47" t="s">
        <v>205</v>
      </c>
      <c r="F357" s="48">
        <v>46266</v>
      </c>
      <c r="G357" s="48">
        <v>46295</v>
      </c>
      <c r="H357" s="37"/>
      <c r="I357" s="37"/>
      <c r="J357" s="37" t="s">
        <v>941</v>
      </c>
      <c r="K357" s="37" t="s">
        <v>580</v>
      </c>
      <c r="L357" s="37"/>
      <c r="M357" s="37"/>
      <c r="N357" s="37" t="s">
        <v>677</v>
      </c>
      <c r="O357" s="37" t="s">
        <v>581</v>
      </c>
      <c r="P357" s="51" t="s">
        <v>31</v>
      </c>
      <c r="Q357" s="37"/>
      <c r="R357" s="37" t="s">
        <v>31</v>
      </c>
      <c r="S357" s="37"/>
      <c r="T357" s="37"/>
      <c r="U357" s="37"/>
      <c r="V357" s="37" t="s">
        <v>202</v>
      </c>
      <c r="W357" s="37" t="s">
        <v>203</v>
      </c>
      <c r="X357" s="37" t="s">
        <v>31</v>
      </c>
      <c r="Y357" s="37"/>
      <c r="Z357" s="37" t="s">
        <v>31</v>
      </c>
      <c r="AA357" s="37"/>
      <c r="AB357" s="37" t="s">
        <v>31</v>
      </c>
      <c r="AC357" s="37"/>
      <c r="AD357" s="37" t="s">
        <v>31</v>
      </c>
      <c r="AE357" s="37"/>
      <c r="AH357" s="17"/>
      <c r="AI357" s="17" t="b">
        <f t="shared" si="18"/>
        <v>1</v>
      </c>
      <c r="AJ357" s="17" t="b">
        <f t="shared" si="19"/>
        <v>1</v>
      </c>
      <c r="AK357" s="17" t="str">
        <f t="shared" si="20"/>
        <v>EM00016426</v>
      </c>
    </row>
    <row r="358" spans="1:37" ht="13.15" customHeight="1" x14ac:dyDescent="0.25">
      <c r="A358" s="75" t="str">
        <f>_xlfn.XLOOKUP(C358,[1]Sheet2!$D:$D,[1]Sheet2!$C:$C)</f>
        <v>EM00016517</v>
      </c>
      <c r="B358" s="37">
        <v>1320</v>
      </c>
      <c r="C358" s="51" t="s">
        <v>331</v>
      </c>
      <c r="D358" s="37">
        <v>1</v>
      </c>
      <c r="E358" s="47" t="s">
        <v>205</v>
      </c>
      <c r="F358" s="48">
        <v>46266</v>
      </c>
      <c r="G358" s="48">
        <v>46295</v>
      </c>
      <c r="H358" s="37" t="s">
        <v>740</v>
      </c>
      <c r="I358" s="51" t="s">
        <v>331</v>
      </c>
      <c r="J358" s="37" t="s">
        <v>475</v>
      </c>
      <c r="K358" s="51" t="s">
        <v>336</v>
      </c>
      <c r="L358" s="37"/>
      <c r="M358" s="37"/>
      <c r="N358" s="37" t="s">
        <v>368</v>
      </c>
      <c r="O358" s="37" t="s">
        <v>349</v>
      </c>
      <c r="P358" s="52" t="s">
        <v>31</v>
      </c>
      <c r="Q358" s="37"/>
      <c r="R358" s="37" t="s">
        <v>31</v>
      </c>
      <c r="S358" s="37"/>
      <c r="T358" s="37"/>
      <c r="U358" s="37"/>
      <c r="V358" s="37" t="s">
        <v>202</v>
      </c>
      <c r="W358" s="37" t="s">
        <v>203</v>
      </c>
      <c r="X358" s="37" t="s">
        <v>31</v>
      </c>
      <c r="Y358" s="37"/>
      <c r="Z358" s="37" t="s">
        <v>31</v>
      </c>
      <c r="AA358" s="37"/>
      <c r="AB358" s="37" t="s">
        <v>31</v>
      </c>
      <c r="AC358" s="37"/>
      <c r="AD358" s="37" t="s">
        <v>31</v>
      </c>
      <c r="AE358" s="37"/>
      <c r="AH358" s="17"/>
      <c r="AI358" s="17" t="b">
        <f t="shared" si="18"/>
        <v>1</v>
      </c>
      <c r="AJ358" s="17" t="b">
        <f t="shared" si="19"/>
        <v>1</v>
      </c>
      <c r="AK358" s="17" t="str">
        <f t="shared" si="20"/>
        <v>EM00016194</v>
      </c>
    </row>
    <row r="359" spans="1:37" ht="13.15" customHeight="1" x14ac:dyDescent="0.25">
      <c r="A359" s="75" t="str">
        <f>_xlfn.XLOOKUP(C359,[1]Sheet2!$D:$D,[1]Sheet2!$C:$C)</f>
        <v>EM00016253</v>
      </c>
      <c r="B359" s="37">
        <v>1320</v>
      </c>
      <c r="C359" s="51" t="s">
        <v>332</v>
      </c>
      <c r="D359" s="37">
        <v>1</v>
      </c>
      <c r="E359" s="47" t="s">
        <v>205</v>
      </c>
      <c r="F359" s="48">
        <v>46266</v>
      </c>
      <c r="G359" s="48">
        <v>46295</v>
      </c>
      <c r="H359" s="37" t="s">
        <v>469</v>
      </c>
      <c r="I359" s="51" t="s">
        <v>332</v>
      </c>
      <c r="J359" s="37" t="s">
        <v>475</v>
      </c>
      <c r="K359" s="51" t="s">
        <v>336</v>
      </c>
      <c r="L359" s="37"/>
      <c r="M359" s="37"/>
      <c r="N359" s="37" t="s">
        <v>368</v>
      </c>
      <c r="O359" s="37" t="s">
        <v>349</v>
      </c>
      <c r="P359" s="37" t="s">
        <v>31</v>
      </c>
      <c r="Q359" s="37"/>
      <c r="R359" s="37" t="s">
        <v>31</v>
      </c>
      <c r="S359" s="37"/>
      <c r="T359" s="37"/>
      <c r="U359" s="37"/>
      <c r="V359" s="37" t="s">
        <v>202</v>
      </c>
      <c r="W359" s="37" t="s">
        <v>203</v>
      </c>
      <c r="X359" s="37" t="s">
        <v>31</v>
      </c>
      <c r="Y359" s="37"/>
      <c r="Z359" s="37" t="s">
        <v>31</v>
      </c>
      <c r="AA359" s="37"/>
      <c r="AB359" s="37" t="s">
        <v>31</v>
      </c>
      <c r="AC359" s="37"/>
      <c r="AD359" s="37" t="s">
        <v>31</v>
      </c>
      <c r="AE359" s="37"/>
      <c r="AH359" s="17"/>
      <c r="AI359" s="17" t="b">
        <f t="shared" si="18"/>
        <v>1</v>
      </c>
      <c r="AJ359" s="17" t="b">
        <f t="shared" si="19"/>
        <v>1</v>
      </c>
      <c r="AK359" s="17" t="str">
        <f t="shared" si="20"/>
        <v>EM00016194</v>
      </c>
    </row>
    <row r="360" spans="1:37" ht="13.15" customHeight="1" x14ac:dyDescent="0.25">
      <c r="A360" s="75" t="str">
        <f>_xlfn.XLOOKUP(C360,[1]Sheet2!$D:$D,[1]Sheet2!$C:$C)</f>
        <v>EM00015718</v>
      </c>
      <c r="B360" s="37">
        <v>1320</v>
      </c>
      <c r="C360" s="51" t="s">
        <v>333</v>
      </c>
      <c r="D360" s="37">
        <v>1</v>
      </c>
      <c r="E360" s="47" t="s">
        <v>205</v>
      </c>
      <c r="F360" s="48">
        <v>46266</v>
      </c>
      <c r="G360" s="48">
        <v>46295</v>
      </c>
      <c r="H360" s="37" t="s">
        <v>369</v>
      </c>
      <c r="I360" s="51" t="s">
        <v>333</v>
      </c>
      <c r="J360" s="37" t="s">
        <v>475</v>
      </c>
      <c r="K360" s="51" t="s">
        <v>336</v>
      </c>
      <c r="L360" s="37"/>
      <c r="M360" s="37"/>
      <c r="N360" s="37" t="s">
        <v>368</v>
      </c>
      <c r="O360" s="37" t="s">
        <v>349</v>
      </c>
      <c r="P360" s="37" t="s">
        <v>31</v>
      </c>
      <c r="Q360" s="37"/>
      <c r="R360" s="37" t="s">
        <v>31</v>
      </c>
      <c r="S360" s="37"/>
      <c r="T360" s="37"/>
      <c r="U360" s="37"/>
      <c r="V360" s="37" t="s">
        <v>202</v>
      </c>
      <c r="W360" s="37" t="s">
        <v>203</v>
      </c>
      <c r="X360" s="37" t="s">
        <v>31</v>
      </c>
      <c r="Y360" s="37"/>
      <c r="Z360" s="37" t="s">
        <v>31</v>
      </c>
      <c r="AA360" s="37"/>
      <c r="AB360" s="37" t="s">
        <v>31</v>
      </c>
      <c r="AC360" s="37"/>
      <c r="AD360" s="37" t="s">
        <v>31</v>
      </c>
      <c r="AE360" s="37"/>
      <c r="AH360" s="17"/>
      <c r="AI360" s="17" t="b">
        <f t="shared" si="18"/>
        <v>1</v>
      </c>
      <c r="AJ360" s="17" t="b">
        <f t="shared" si="19"/>
        <v>1</v>
      </c>
      <c r="AK360" s="17" t="str">
        <f t="shared" si="20"/>
        <v>EM00016194</v>
      </c>
    </row>
    <row r="361" spans="1:37" ht="13.15" customHeight="1" x14ac:dyDescent="0.25">
      <c r="A361" s="75" t="str">
        <f>_xlfn.XLOOKUP(C361,[1]Sheet2!$D:$D,[1]Sheet2!$C:$C)</f>
        <v>EM00015751</v>
      </c>
      <c r="B361" s="37">
        <v>1320</v>
      </c>
      <c r="C361" s="51" t="s">
        <v>334</v>
      </c>
      <c r="D361" s="37">
        <v>1</v>
      </c>
      <c r="E361" s="47" t="s">
        <v>205</v>
      </c>
      <c r="F361" s="48">
        <v>46266</v>
      </c>
      <c r="G361" s="48">
        <v>46295</v>
      </c>
      <c r="H361" s="37" t="s">
        <v>472</v>
      </c>
      <c r="I361" s="51" t="s">
        <v>334</v>
      </c>
      <c r="J361" s="37" t="s">
        <v>475</v>
      </c>
      <c r="K361" s="51" t="s">
        <v>336</v>
      </c>
      <c r="L361" s="37"/>
      <c r="M361" s="37"/>
      <c r="N361" s="37" t="s">
        <v>368</v>
      </c>
      <c r="O361" s="37" t="s">
        <v>349</v>
      </c>
      <c r="P361" s="51" t="s">
        <v>31</v>
      </c>
      <c r="Q361" s="37"/>
      <c r="R361" s="37" t="s">
        <v>31</v>
      </c>
      <c r="S361" s="37"/>
      <c r="T361" s="37"/>
      <c r="U361" s="37"/>
      <c r="V361" s="37" t="s">
        <v>202</v>
      </c>
      <c r="W361" s="37" t="s">
        <v>203</v>
      </c>
      <c r="X361" s="37" t="s">
        <v>31</v>
      </c>
      <c r="Y361" s="37"/>
      <c r="Z361" s="37" t="s">
        <v>31</v>
      </c>
      <c r="AA361" s="37"/>
      <c r="AB361" s="37" t="s">
        <v>31</v>
      </c>
      <c r="AC361" s="37"/>
      <c r="AD361" s="37" t="s">
        <v>31</v>
      </c>
      <c r="AE361" s="37"/>
      <c r="AH361" s="17"/>
      <c r="AI361" s="17" t="b">
        <f t="shared" si="18"/>
        <v>1</v>
      </c>
      <c r="AJ361" s="17" t="b">
        <f t="shared" si="19"/>
        <v>1</v>
      </c>
      <c r="AK361" s="17" t="str">
        <f t="shared" si="20"/>
        <v>EM00016194</v>
      </c>
    </row>
    <row r="362" spans="1:37" ht="13.15" customHeight="1" x14ac:dyDescent="0.25">
      <c r="A362" s="75" t="str">
        <f>_xlfn.XLOOKUP(C362,[1]Sheet2!$D:$D,[1]Sheet2!$C:$C)</f>
        <v>EM00015739</v>
      </c>
      <c r="B362" s="37">
        <v>1320</v>
      </c>
      <c r="C362" s="51" t="s">
        <v>335</v>
      </c>
      <c r="D362" s="37">
        <v>1</v>
      </c>
      <c r="E362" s="47" t="s">
        <v>205</v>
      </c>
      <c r="F362" s="48">
        <v>46266</v>
      </c>
      <c r="G362" s="48">
        <v>46295</v>
      </c>
      <c r="H362" s="37" t="s">
        <v>370</v>
      </c>
      <c r="I362" s="51" t="s">
        <v>335</v>
      </c>
      <c r="J362" s="37" t="s">
        <v>475</v>
      </c>
      <c r="K362" s="51" t="s">
        <v>336</v>
      </c>
      <c r="L362" s="37"/>
      <c r="M362" s="37"/>
      <c r="N362" s="37" t="s">
        <v>368</v>
      </c>
      <c r="O362" s="37" t="s">
        <v>349</v>
      </c>
      <c r="P362" s="51" t="s">
        <v>31</v>
      </c>
      <c r="Q362" s="37"/>
      <c r="R362" s="37" t="s">
        <v>31</v>
      </c>
      <c r="S362" s="37"/>
      <c r="T362" s="37"/>
      <c r="U362" s="37"/>
      <c r="V362" s="37" t="s">
        <v>202</v>
      </c>
      <c r="W362" s="37" t="s">
        <v>203</v>
      </c>
      <c r="X362" s="37" t="s">
        <v>31</v>
      </c>
      <c r="Y362" s="37"/>
      <c r="Z362" s="37" t="s">
        <v>31</v>
      </c>
      <c r="AA362" s="37"/>
      <c r="AB362" s="37" t="s">
        <v>31</v>
      </c>
      <c r="AC362" s="37"/>
      <c r="AD362" s="37" t="s">
        <v>31</v>
      </c>
      <c r="AE362" s="37"/>
      <c r="AH362" s="17"/>
      <c r="AI362" s="17" t="b">
        <f t="shared" si="18"/>
        <v>1</v>
      </c>
      <c r="AJ362" s="17" t="b">
        <f t="shared" si="19"/>
        <v>1</v>
      </c>
      <c r="AK362" s="17" t="str">
        <f t="shared" si="20"/>
        <v>EM00016194</v>
      </c>
    </row>
    <row r="363" spans="1:37" ht="13.15" customHeight="1" x14ac:dyDescent="0.25">
      <c r="A363" s="75" t="str">
        <f>_xlfn.XLOOKUP(C363,[1]Sheet2!$D:$D,[1]Sheet2!$C:$C)</f>
        <v>EM00016194</v>
      </c>
      <c r="B363" s="37">
        <v>1320</v>
      </c>
      <c r="C363" s="37" t="s">
        <v>336</v>
      </c>
      <c r="D363" s="37">
        <v>2</v>
      </c>
      <c r="E363" s="47" t="s">
        <v>205</v>
      </c>
      <c r="F363" s="48">
        <v>46266</v>
      </c>
      <c r="G363" s="48">
        <v>46295</v>
      </c>
      <c r="H363" s="37"/>
      <c r="I363" s="37"/>
      <c r="J363" s="37" t="s">
        <v>475</v>
      </c>
      <c r="K363" s="37" t="s">
        <v>336</v>
      </c>
      <c r="L363" s="37"/>
      <c r="M363" s="37"/>
      <c r="N363" s="37" t="s">
        <v>368</v>
      </c>
      <c r="O363" s="37" t="s">
        <v>349</v>
      </c>
      <c r="P363" s="52" t="s">
        <v>31</v>
      </c>
      <c r="Q363" s="37"/>
      <c r="R363" s="37" t="s">
        <v>31</v>
      </c>
      <c r="S363" s="37"/>
      <c r="T363" s="37"/>
      <c r="U363" s="37"/>
      <c r="V363" s="37" t="s">
        <v>923</v>
      </c>
      <c r="W363" s="37" t="s">
        <v>203</v>
      </c>
      <c r="X363" s="37" t="s">
        <v>31</v>
      </c>
      <c r="Y363" s="37"/>
      <c r="Z363" s="37" t="s">
        <v>31</v>
      </c>
      <c r="AA363" s="37"/>
      <c r="AB363" s="37" t="s">
        <v>31</v>
      </c>
      <c r="AC363" s="37"/>
      <c r="AD363" s="37" t="s">
        <v>31</v>
      </c>
      <c r="AE363" s="37"/>
      <c r="AH363" s="17"/>
      <c r="AI363" s="17" t="b">
        <f t="shared" si="18"/>
        <v>1</v>
      </c>
      <c r="AJ363" s="17" t="b">
        <f t="shared" si="19"/>
        <v>1</v>
      </c>
      <c r="AK363" s="17" t="str">
        <f t="shared" si="20"/>
        <v>EM00003569</v>
      </c>
    </row>
    <row r="364" spans="1:37" ht="13.15" customHeight="1" x14ac:dyDescent="0.25">
      <c r="A364" s="37" t="s">
        <v>368</v>
      </c>
      <c r="B364" s="37">
        <v>1335</v>
      </c>
      <c r="C364" s="37" t="s">
        <v>581</v>
      </c>
      <c r="D364" s="37">
        <v>4</v>
      </c>
      <c r="E364" s="47" t="s">
        <v>205</v>
      </c>
      <c r="F364" s="48">
        <v>46266</v>
      </c>
      <c r="G364" s="48">
        <v>46295</v>
      </c>
      <c r="H364" s="37"/>
      <c r="I364" s="37"/>
      <c r="J364" s="37"/>
      <c r="K364" s="37"/>
      <c r="L364" s="37"/>
      <c r="M364" s="37"/>
      <c r="N364" s="37" t="s">
        <v>368</v>
      </c>
      <c r="O364" s="37" t="s">
        <v>581</v>
      </c>
      <c r="P364" s="37" t="s">
        <v>31</v>
      </c>
      <c r="Q364" s="37"/>
      <c r="R364" s="37" t="s">
        <v>31</v>
      </c>
      <c r="S364" s="37"/>
      <c r="T364" s="37"/>
      <c r="U364" s="37"/>
      <c r="V364" s="37" t="s">
        <v>202</v>
      </c>
      <c r="W364" s="37" t="s">
        <v>203</v>
      </c>
      <c r="X364" s="37" t="s">
        <v>31</v>
      </c>
      <c r="Y364" s="37"/>
      <c r="Z364" s="37" t="s">
        <v>31</v>
      </c>
      <c r="AA364" s="37"/>
      <c r="AB364" s="37" t="s">
        <v>31</v>
      </c>
      <c r="AC364" s="37"/>
      <c r="AD364" s="37" t="s">
        <v>31</v>
      </c>
      <c r="AE364" s="37"/>
      <c r="AH364" s="17"/>
      <c r="AI364" s="17" t="b">
        <f t="shared" si="18"/>
        <v>1</v>
      </c>
      <c r="AJ364" s="17" t="b">
        <f t="shared" si="19"/>
        <v>1</v>
      </c>
      <c r="AK364" s="17" t="str">
        <f t="shared" si="20"/>
        <v>EM00000000</v>
      </c>
    </row>
    <row r="365" spans="1:37" ht="13.15" customHeight="1" x14ac:dyDescent="0.25">
      <c r="A365" s="37" t="s">
        <v>368</v>
      </c>
      <c r="B365" s="37">
        <v>1330</v>
      </c>
      <c r="C365" s="37" t="s">
        <v>581</v>
      </c>
      <c r="D365" s="37">
        <v>4</v>
      </c>
      <c r="E365" s="47" t="s">
        <v>205</v>
      </c>
      <c r="F365" s="48">
        <v>46266</v>
      </c>
      <c r="G365" s="48">
        <v>46295</v>
      </c>
      <c r="H365" s="37"/>
      <c r="I365" s="37"/>
      <c r="J365" s="37"/>
      <c r="K365" s="37"/>
      <c r="L365" s="37"/>
      <c r="M365" s="37"/>
      <c r="N365" s="37" t="s">
        <v>368</v>
      </c>
      <c r="O365" s="37" t="s">
        <v>581</v>
      </c>
      <c r="P365" s="37" t="s">
        <v>31</v>
      </c>
      <c r="Q365" s="37"/>
      <c r="R365" s="37" t="s">
        <v>31</v>
      </c>
      <c r="S365" s="37"/>
      <c r="T365" s="37"/>
      <c r="U365" s="37"/>
      <c r="V365" s="37" t="s">
        <v>202</v>
      </c>
      <c r="W365" s="37" t="s">
        <v>203</v>
      </c>
      <c r="X365" s="37" t="s">
        <v>31</v>
      </c>
      <c r="Y365" s="37"/>
      <c r="Z365" s="37" t="s">
        <v>31</v>
      </c>
      <c r="AA365" s="37"/>
      <c r="AB365" s="37" t="s">
        <v>31</v>
      </c>
      <c r="AC365" s="37"/>
      <c r="AD365" s="37" t="s">
        <v>31</v>
      </c>
      <c r="AE365" s="37"/>
      <c r="AH365" s="17"/>
      <c r="AI365" s="17" t="b">
        <f t="shared" si="18"/>
        <v>1</v>
      </c>
      <c r="AJ365" s="17" t="b">
        <f t="shared" si="19"/>
        <v>1</v>
      </c>
      <c r="AK365" s="17" t="str">
        <f t="shared" si="20"/>
        <v>EM00000000</v>
      </c>
    </row>
    <row r="366" spans="1:37" ht="13.15" customHeight="1" x14ac:dyDescent="0.25">
      <c r="A366" s="37" t="s">
        <v>368</v>
      </c>
      <c r="B366" s="37">
        <v>1321</v>
      </c>
      <c r="C366" s="37" t="s">
        <v>581</v>
      </c>
      <c r="D366" s="37">
        <v>4</v>
      </c>
      <c r="E366" s="47" t="s">
        <v>205</v>
      </c>
      <c r="F366" s="48">
        <v>46266</v>
      </c>
      <c r="G366" s="48">
        <v>46295</v>
      </c>
      <c r="H366" s="37"/>
      <c r="I366" s="37"/>
      <c r="J366" s="37"/>
      <c r="K366" s="37"/>
      <c r="L366" s="37"/>
      <c r="M366" s="37"/>
      <c r="N366" s="37" t="s">
        <v>368</v>
      </c>
      <c r="O366" s="37" t="s">
        <v>581</v>
      </c>
      <c r="P366" s="51" t="s">
        <v>31</v>
      </c>
      <c r="Q366" s="37"/>
      <c r="R366" s="37" t="s">
        <v>31</v>
      </c>
      <c r="S366" s="37"/>
      <c r="T366" s="37"/>
      <c r="U366" s="37"/>
      <c r="V366" s="37" t="s">
        <v>202</v>
      </c>
      <c r="W366" s="37" t="s">
        <v>203</v>
      </c>
      <c r="X366" s="37" t="s">
        <v>31</v>
      </c>
      <c r="Y366" s="37"/>
      <c r="Z366" s="37" t="s">
        <v>31</v>
      </c>
      <c r="AA366" s="37"/>
      <c r="AB366" s="37" t="s">
        <v>31</v>
      </c>
      <c r="AC366" s="37"/>
      <c r="AD366" s="37" t="s">
        <v>31</v>
      </c>
      <c r="AE366" s="37"/>
      <c r="AH366" s="17"/>
      <c r="AI366" s="17" t="b">
        <f t="shared" si="18"/>
        <v>1</v>
      </c>
      <c r="AJ366" s="17" t="b">
        <f t="shared" si="19"/>
        <v>1</v>
      </c>
      <c r="AK366" s="17" t="str">
        <f t="shared" si="20"/>
        <v>EM00000000</v>
      </c>
    </row>
    <row r="367" spans="1:37" ht="13.15" customHeight="1" x14ac:dyDescent="0.25">
      <c r="A367" s="75" t="s">
        <v>202</v>
      </c>
      <c r="B367" s="37">
        <v>1335</v>
      </c>
      <c r="C367" s="37" t="s">
        <v>203</v>
      </c>
      <c r="D367" s="37">
        <v>8</v>
      </c>
      <c r="E367" s="47" t="s">
        <v>205</v>
      </c>
      <c r="F367" s="48">
        <v>46266</v>
      </c>
      <c r="G367" s="48">
        <v>46295</v>
      </c>
      <c r="H367" s="37"/>
      <c r="I367" s="37"/>
      <c r="J367" s="37"/>
      <c r="K367" s="37"/>
      <c r="L367" s="37"/>
      <c r="M367" s="37"/>
      <c r="N367" s="37"/>
      <c r="O367" s="37"/>
      <c r="P367" s="51" t="s">
        <v>31</v>
      </c>
      <c r="Q367" s="37"/>
      <c r="R367" s="37" t="s">
        <v>31</v>
      </c>
      <c r="S367" s="37"/>
      <c r="T367" s="37"/>
      <c r="U367" s="37"/>
      <c r="V367" s="37" t="s">
        <v>202</v>
      </c>
      <c r="W367" s="37" t="s">
        <v>203</v>
      </c>
      <c r="X367" s="37" t="s">
        <v>31</v>
      </c>
      <c r="Y367" s="37"/>
      <c r="Z367" s="37" t="s">
        <v>31</v>
      </c>
      <c r="AA367" s="37"/>
      <c r="AB367" s="37" t="s">
        <v>31</v>
      </c>
      <c r="AC367" s="37"/>
      <c r="AD367" s="37" t="s">
        <v>31</v>
      </c>
      <c r="AE367" s="37"/>
      <c r="AH367" s="17"/>
      <c r="AI367" s="17" t="b">
        <f t="shared" si="18"/>
        <v>1</v>
      </c>
      <c r="AJ367" s="17" t="b">
        <f t="shared" si="19"/>
        <v>1</v>
      </c>
      <c r="AK367" s="17" t="str">
        <f t="shared" si="20"/>
        <v>EM00000000</v>
      </c>
    </row>
    <row r="368" spans="1:37" ht="13.15" customHeight="1" x14ac:dyDescent="0.25">
      <c r="A368" s="75" t="s">
        <v>202</v>
      </c>
      <c r="B368" s="37">
        <v>1330</v>
      </c>
      <c r="C368" s="37" t="s">
        <v>203</v>
      </c>
      <c r="D368" s="37">
        <v>8</v>
      </c>
      <c r="E368" s="47" t="s">
        <v>205</v>
      </c>
      <c r="F368" s="48">
        <v>46266</v>
      </c>
      <c r="G368" s="48">
        <v>46295</v>
      </c>
      <c r="H368" s="37"/>
      <c r="I368" s="37"/>
      <c r="J368" s="37"/>
      <c r="K368" s="37"/>
      <c r="L368" s="37"/>
      <c r="M368" s="37"/>
      <c r="N368" s="37"/>
      <c r="O368" s="37"/>
      <c r="P368" s="52" t="s">
        <v>31</v>
      </c>
      <c r="Q368" s="37"/>
      <c r="R368" s="37" t="s">
        <v>31</v>
      </c>
      <c r="S368" s="37"/>
      <c r="T368" s="37"/>
      <c r="U368" s="37"/>
      <c r="V368" s="37" t="s">
        <v>202</v>
      </c>
      <c r="W368" s="37" t="s">
        <v>203</v>
      </c>
      <c r="X368" s="37" t="s">
        <v>31</v>
      </c>
      <c r="Y368" s="37"/>
      <c r="Z368" s="37" t="s">
        <v>31</v>
      </c>
      <c r="AA368" s="37"/>
      <c r="AB368" s="37" t="s">
        <v>31</v>
      </c>
      <c r="AC368" s="37"/>
      <c r="AD368" s="37" t="s">
        <v>31</v>
      </c>
      <c r="AE368" s="37"/>
      <c r="AH368" s="17"/>
      <c r="AI368" s="17" t="b">
        <f t="shared" si="18"/>
        <v>1</v>
      </c>
      <c r="AJ368" s="17" t="b">
        <f t="shared" si="19"/>
        <v>1</v>
      </c>
      <c r="AK368" s="17" t="str">
        <f t="shared" si="20"/>
        <v>EM00000000</v>
      </c>
    </row>
    <row r="369" spans="1:37" ht="13.15" customHeight="1" x14ac:dyDescent="0.25">
      <c r="A369" s="75" t="s">
        <v>202</v>
      </c>
      <c r="B369" s="37">
        <v>1321</v>
      </c>
      <c r="C369" s="37" t="s">
        <v>203</v>
      </c>
      <c r="D369" s="37">
        <v>8</v>
      </c>
      <c r="E369" s="47" t="s">
        <v>205</v>
      </c>
      <c r="F369" s="48">
        <v>46266</v>
      </c>
      <c r="G369" s="48">
        <v>46295</v>
      </c>
      <c r="H369" s="37"/>
      <c r="I369" s="37"/>
      <c r="J369" s="37"/>
      <c r="K369" s="37"/>
      <c r="L369" s="37"/>
      <c r="M369" s="37"/>
      <c r="N369" s="37"/>
      <c r="O369" s="37"/>
      <c r="P369" s="37" t="s">
        <v>31</v>
      </c>
      <c r="Q369" s="37"/>
      <c r="R369" s="37" t="s">
        <v>31</v>
      </c>
      <c r="S369" s="37"/>
      <c r="T369" s="37"/>
      <c r="U369" s="37"/>
      <c r="V369" s="37" t="s">
        <v>202</v>
      </c>
      <c r="W369" s="37" t="s">
        <v>203</v>
      </c>
      <c r="X369" s="37" t="s">
        <v>31</v>
      </c>
      <c r="Y369" s="37"/>
      <c r="Z369" s="37" t="s">
        <v>31</v>
      </c>
      <c r="AA369" s="37"/>
      <c r="AB369" s="37" t="s">
        <v>31</v>
      </c>
      <c r="AC369" s="37"/>
      <c r="AD369" s="37" t="s">
        <v>31</v>
      </c>
      <c r="AE369" s="37"/>
      <c r="AH369" s="17"/>
      <c r="AI369" s="17" t="b">
        <f t="shared" si="18"/>
        <v>1</v>
      </c>
      <c r="AJ369" s="17" t="b">
        <f t="shared" si="19"/>
        <v>1</v>
      </c>
      <c r="AK369" s="17" t="str">
        <f t="shared" si="20"/>
        <v>EM00000000</v>
      </c>
    </row>
  </sheetData>
  <sheetProtection selectLockedCells="1" selectUnlockedCells="1"/>
  <autoFilter ref="A1:AK369" xr:uid="{9CEE04D5-1F72-4328-B4FF-2653885FF7D1}"/>
  <sortState xmlns:xlrd2="http://schemas.microsoft.com/office/spreadsheetml/2017/richdata2" ref="A104:AE111">
    <sortCondition ref="C104:C111"/>
  </sortState>
  <phoneticPr fontId="53" type="noConversion"/>
  <conditionalFormatting sqref="A2:AG2 A3:E3 H3:Q37 R3:AG168 F3:G369 E4:E37 A4:D369 E38:Q110 F111:Q152 E111:E369 H153:Q168 H169:O283 P169:AG369 I284:O284 H285:O369 A370:AG2454">
    <cfRule type="cellIs" dxfId="2" priority="3" operator="equal">
      <formula>"EM00000000"</formula>
    </cfRule>
    <cfRule type="expression" dxfId="1" priority="4">
      <formula>$D2&lt;&gt;1</formula>
    </cfRule>
  </conditionalFormatting>
  <conditionalFormatting sqref="H284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3A2C9-6A25-4302-ACD9-E0B0F81A8BA4}">
  <dimension ref="A1:J255"/>
  <sheetViews>
    <sheetView workbookViewId="0">
      <selection activeCell="P20" sqref="P20"/>
    </sheetView>
  </sheetViews>
  <sheetFormatPr defaultRowHeight="15" x14ac:dyDescent="0.25"/>
  <cols>
    <col min="2" max="2" width="24.28515625" bestFit="1" customWidth="1"/>
    <col min="3" max="3" width="11.5703125" bestFit="1" customWidth="1"/>
    <col min="10" max="10" width="12.5703125" bestFit="1" customWidth="1"/>
  </cols>
  <sheetData>
    <row r="1" spans="1:10" ht="21" x14ac:dyDescent="0.25">
      <c r="A1" s="25" t="s">
        <v>741</v>
      </c>
    </row>
    <row r="2" spans="1:10" x14ac:dyDescent="0.25">
      <c r="C2" t="s">
        <v>208</v>
      </c>
    </row>
    <row r="3" spans="1:10" ht="30" x14ac:dyDescent="0.25">
      <c r="A3" s="67" t="s">
        <v>371</v>
      </c>
      <c r="B3" s="67" t="s">
        <v>372</v>
      </c>
      <c r="C3" s="68" t="s">
        <v>373</v>
      </c>
    </row>
    <row r="4" spans="1:10" x14ac:dyDescent="0.25">
      <c r="A4" s="69" t="s">
        <v>477</v>
      </c>
      <c r="B4" s="69" t="s">
        <v>742</v>
      </c>
      <c r="C4" s="69">
        <v>396020</v>
      </c>
    </row>
    <row r="5" spans="1:10" ht="21" x14ac:dyDescent="0.25">
      <c r="A5" s="69" t="s">
        <v>479</v>
      </c>
      <c r="B5" s="69" t="s">
        <v>743</v>
      </c>
      <c r="C5" s="69">
        <v>371600</v>
      </c>
      <c r="H5" s="25" t="s">
        <v>911</v>
      </c>
    </row>
    <row r="6" spans="1:10" x14ac:dyDescent="0.25">
      <c r="A6" s="69" t="s">
        <v>480</v>
      </c>
      <c r="B6" s="69" t="s">
        <v>744</v>
      </c>
      <c r="C6" s="69">
        <v>717770</v>
      </c>
    </row>
    <row r="7" spans="1:10" x14ac:dyDescent="0.25">
      <c r="A7" s="69" t="s">
        <v>481</v>
      </c>
      <c r="B7" s="69" t="s">
        <v>745</v>
      </c>
      <c r="C7" s="69">
        <v>304270</v>
      </c>
      <c r="J7" s="70" t="s">
        <v>208</v>
      </c>
    </row>
    <row r="8" spans="1:10" ht="30" x14ac:dyDescent="0.25">
      <c r="A8" s="69" t="s">
        <v>482</v>
      </c>
      <c r="B8" s="69" t="s">
        <v>746</v>
      </c>
      <c r="C8" s="69">
        <v>668700</v>
      </c>
      <c r="H8" s="26" t="s">
        <v>912</v>
      </c>
      <c r="I8" s="26" t="s">
        <v>913</v>
      </c>
      <c r="J8" s="27" t="s">
        <v>373</v>
      </c>
    </row>
    <row r="9" spans="1:10" x14ac:dyDescent="0.25">
      <c r="A9" s="69" t="s">
        <v>483</v>
      </c>
      <c r="B9" s="69" t="s">
        <v>747</v>
      </c>
      <c r="C9" s="69">
        <v>464180</v>
      </c>
      <c r="H9" s="28" t="s">
        <v>197</v>
      </c>
      <c r="I9" s="28" t="s">
        <v>914</v>
      </c>
      <c r="J9" s="69">
        <v>11241570</v>
      </c>
    </row>
    <row r="10" spans="1:10" x14ac:dyDescent="0.25">
      <c r="A10" s="69" t="s">
        <v>485</v>
      </c>
      <c r="B10" s="69" t="s">
        <v>748</v>
      </c>
      <c r="C10" s="69">
        <v>948650</v>
      </c>
      <c r="H10" s="28" t="s">
        <v>199</v>
      </c>
      <c r="I10" s="28" t="s">
        <v>915</v>
      </c>
      <c r="J10" s="69">
        <v>14903650</v>
      </c>
    </row>
    <row r="11" spans="1:10" x14ac:dyDescent="0.25">
      <c r="A11" s="69" t="s">
        <v>486</v>
      </c>
      <c r="B11" s="69" t="s">
        <v>749</v>
      </c>
      <c r="C11" s="69">
        <v>355330</v>
      </c>
      <c r="H11" s="28" t="s">
        <v>200</v>
      </c>
      <c r="I11" s="28" t="s">
        <v>916</v>
      </c>
      <c r="J11" s="69">
        <v>13680640</v>
      </c>
    </row>
    <row r="12" spans="1:10" x14ac:dyDescent="0.25">
      <c r="A12" s="69" t="s">
        <v>487</v>
      </c>
      <c r="B12" s="69" t="s">
        <v>750</v>
      </c>
      <c r="C12" s="69">
        <v>286060</v>
      </c>
      <c r="H12" s="28" t="s">
        <v>561</v>
      </c>
      <c r="I12" s="28" t="s">
        <v>917</v>
      </c>
      <c r="J12" s="69">
        <v>23562740</v>
      </c>
    </row>
    <row r="13" spans="1:10" x14ac:dyDescent="0.25">
      <c r="A13" s="69" t="s">
        <v>488</v>
      </c>
      <c r="B13" s="69" t="s">
        <v>751</v>
      </c>
      <c r="C13" s="69">
        <v>430920</v>
      </c>
      <c r="H13" s="28" t="s">
        <v>524</v>
      </c>
      <c r="I13" s="28" t="s">
        <v>918</v>
      </c>
      <c r="J13" s="69">
        <v>24366840</v>
      </c>
    </row>
    <row r="14" spans="1:10" x14ac:dyDescent="0.25">
      <c r="A14" s="69" t="s">
        <v>489</v>
      </c>
      <c r="B14" s="69" t="s">
        <v>752</v>
      </c>
      <c r="C14" s="69">
        <v>724550</v>
      </c>
      <c r="H14" s="28" t="s">
        <v>275</v>
      </c>
      <c r="I14" s="28" t="s">
        <v>919</v>
      </c>
      <c r="J14" s="69">
        <v>15495220</v>
      </c>
    </row>
    <row r="15" spans="1:10" x14ac:dyDescent="0.25">
      <c r="A15" s="69" t="s">
        <v>491</v>
      </c>
      <c r="B15" s="69" t="s">
        <v>753</v>
      </c>
      <c r="C15" s="69">
        <v>389560</v>
      </c>
      <c r="H15" s="28" t="s">
        <v>581</v>
      </c>
      <c r="I15" s="28" t="s">
        <v>920</v>
      </c>
      <c r="J15" s="69">
        <v>9185960</v>
      </c>
    </row>
    <row r="16" spans="1:10" x14ac:dyDescent="0.25">
      <c r="A16" s="69" t="s">
        <v>492</v>
      </c>
      <c r="B16" s="69" t="s">
        <v>754</v>
      </c>
      <c r="C16" s="69">
        <v>323140</v>
      </c>
      <c r="H16" s="28" t="s">
        <v>349</v>
      </c>
      <c r="I16" s="28" t="s">
        <v>921</v>
      </c>
      <c r="J16" s="69">
        <v>7563380</v>
      </c>
    </row>
    <row r="17" spans="1:10" x14ac:dyDescent="0.25">
      <c r="A17" s="69" t="s">
        <v>493</v>
      </c>
      <c r="B17" s="69" t="s">
        <v>755</v>
      </c>
      <c r="C17" s="69">
        <v>567360</v>
      </c>
      <c r="H17" s="29"/>
      <c r="I17" s="29" t="s">
        <v>62</v>
      </c>
      <c r="J17" s="30">
        <f>SUM(J9:J16)</f>
        <v>120000000</v>
      </c>
    </row>
    <row r="18" spans="1:10" x14ac:dyDescent="0.25">
      <c r="A18" s="69" t="s">
        <v>494</v>
      </c>
      <c r="B18" s="69" t="s">
        <v>756</v>
      </c>
      <c r="C18" s="69">
        <v>391640</v>
      </c>
    </row>
    <row r="19" spans="1:10" x14ac:dyDescent="0.25">
      <c r="A19" s="69" t="s">
        <v>495</v>
      </c>
      <c r="B19" s="69" t="s">
        <v>757</v>
      </c>
      <c r="C19" s="69">
        <v>346090</v>
      </c>
    </row>
    <row r="20" spans="1:10" x14ac:dyDescent="0.25">
      <c r="A20" s="69" t="s">
        <v>496</v>
      </c>
      <c r="B20" s="69" t="s">
        <v>758</v>
      </c>
      <c r="C20" s="69">
        <v>366260</v>
      </c>
    </row>
    <row r="21" spans="1:10" x14ac:dyDescent="0.25">
      <c r="A21" s="69" t="s">
        <v>497</v>
      </c>
      <c r="B21" s="69" t="s">
        <v>759</v>
      </c>
      <c r="C21" s="69">
        <v>878110</v>
      </c>
    </row>
    <row r="22" spans="1:10" x14ac:dyDescent="0.25">
      <c r="A22" s="69" t="s">
        <v>499</v>
      </c>
      <c r="B22" s="69" t="s">
        <v>760</v>
      </c>
      <c r="C22" s="69">
        <v>366420</v>
      </c>
    </row>
    <row r="23" spans="1:10" x14ac:dyDescent="0.25">
      <c r="A23" s="69" t="s">
        <v>500</v>
      </c>
      <c r="B23" s="69" t="s">
        <v>761</v>
      </c>
      <c r="C23" s="69">
        <v>325720</v>
      </c>
    </row>
    <row r="24" spans="1:10" x14ac:dyDescent="0.25">
      <c r="A24" s="69" t="s">
        <v>501</v>
      </c>
      <c r="B24" s="69" t="s">
        <v>762</v>
      </c>
      <c r="C24" s="69">
        <v>630140</v>
      </c>
    </row>
    <row r="25" spans="1:10" x14ac:dyDescent="0.25">
      <c r="A25" s="69" t="s">
        <v>502</v>
      </c>
      <c r="B25" s="69" t="s">
        <v>763</v>
      </c>
      <c r="C25" s="69">
        <v>637950</v>
      </c>
    </row>
    <row r="26" spans="1:10" x14ac:dyDescent="0.25">
      <c r="A26" s="69" t="s">
        <v>503</v>
      </c>
      <c r="B26" s="69" t="s">
        <v>764</v>
      </c>
      <c r="C26" s="69">
        <v>505580</v>
      </c>
    </row>
    <row r="27" spans="1:10" x14ac:dyDescent="0.25">
      <c r="A27" s="69" t="s">
        <v>678</v>
      </c>
      <c r="B27" s="69" t="s">
        <v>765</v>
      </c>
      <c r="C27" s="69">
        <v>15700</v>
      </c>
    </row>
    <row r="28" spans="1:10" x14ac:dyDescent="0.25">
      <c r="A28" s="69" t="s">
        <v>505</v>
      </c>
      <c r="B28" s="69" t="s">
        <v>766</v>
      </c>
      <c r="C28" s="69">
        <v>309880</v>
      </c>
    </row>
    <row r="29" spans="1:10" x14ac:dyDescent="0.25">
      <c r="A29" s="69" t="s">
        <v>506</v>
      </c>
      <c r="B29" s="69" t="s">
        <v>767</v>
      </c>
      <c r="C29" s="69">
        <v>484400</v>
      </c>
    </row>
    <row r="30" spans="1:10" x14ac:dyDescent="0.25">
      <c r="A30" s="69" t="s">
        <v>507</v>
      </c>
      <c r="B30" s="69" t="s">
        <v>768</v>
      </c>
      <c r="C30" s="69">
        <v>576820</v>
      </c>
    </row>
    <row r="31" spans="1:10" x14ac:dyDescent="0.25">
      <c r="A31" s="69" t="s">
        <v>508</v>
      </c>
      <c r="B31" s="69" t="s">
        <v>769</v>
      </c>
      <c r="C31" s="69">
        <v>666660</v>
      </c>
    </row>
    <row r="32" spans="1:10" x14ac:dyDescent="0.25">
      <c r="A32" s="69" t="s">
        <v>509</v>
      </c>
      <c r="B32" s="69" t="s">
        <v>770</v>
      </c>
      <c r="C32" s="69">
        <v>396960</v>
      </c>
    </row>
    <row r="33" spans="1:3" x14ac:dyDescent="0.25">
      <c r="A33" s="69" t="s">
        <v>510</v>
      </c>
      <c r="B33" s="69" t="s">
        <v>771</v>
      </c>
      <c r="C33" s="69">
        <v>736410</v>
      </c>
    </row>
    <row r="34" spans="1:3" x14ac:dyDescent="0.25">
      <c r="A34" s="69" t="s">
        <v>512</v>
      </c>
      <c r="B34" s="69" t="s">
        <v>772</v>
      </c>
      <c r="C34" s="69">
        <v>615960</v>
      </c>
    </row>
    <row r="35" spans="1:3" x14ac:dyDescent="0.25">
      <c r="A35" s="69" t="s">
        <v>513</v>
      </c>
      <c r="B35" s="69" t="s">
        <v>773</v>
      </c>
      <c r="C35" s="69">
        <v>555470</v>
      </c>
    </row>
    <row r="36" spans="1:3" x14ac:dyDescent="0.25">
      <c r="A36" s="69" t="s">
        <v>514</v>
      </c>
      <c r="B36" s="69" t="s">
        <v>774</v>
      </c>
      <c r="C36" s="69">
        <v>703560</v>
      </c>
    </row>
    <row r="37" spans="1:3" x14ac:dyDescent="0.25">
      <c r="A37" s="69" t="s">
        <v>515</v>
      </c>
      <c r="B37" s="69" t="s">
        <v>775</v>
      </c>
      <c r="C37" s="69">
        <v>499780</v>
      </c>
    </row>
    <row r="38" spans="1:3" x14ac:dyDescent="0.25">
      <c r="A38" s="69" t="s">
        <v>516</v>
      </c>
      <c r="B38" s="69" t="s">
        <v>776</v>
      </c>
      <c r="C38" s="69">
        <v>851270</v>
      </c>
    </row>
    <row r="39" spans="1:3" x14ac:dyDescent="0.25">
      <c r="A39" s="69" t="s">
        <v>518</v>
      </c>
      <c r="B39" s="69" t="s">
        <v>777</v>
      </c>
      <c r="C39" s="69">
        <v>853470</v>
      </c>
    </row>
    <row r="40" spans="1:3" x14ac:dyDescent="0.25">
      <c r="A40" s="69" t="s">
        <v>519</v>
      </c>
      <c r="B40" s="69" t="s">
        <v>778</v>
      </c>
      <c r="C40" s="69">
        <v>538130</v>
      </c>
    </row>
    <row r="41" spans="1:3" x14ac:dyDescent="0.25">
      <c r="A41" s="69" t="s">
        <v>520</v>
      </c>
      <c r="B41" s="69" t="s">
        <v>779</v>
      </c>
      <c r="C41" s="69">
        <v>744480</v>
      </c>
    </row>
    <row r="42" spans="1:3" x14ac:dyDescent="0.25">
      <c r="A42" s="69" t="s">
        <v>521</v>
      </c>
      <c r="B42" s="69" t="s">
        <v>780</v>
      </c>
      <c r="C42" s="69">
        <v>636000</v>
      </c>
    </row>
    <row r="43" spans="1:3" x14ac:dyDescent="0.25">
      <c r="A43" s="69" t="s">
        <v>522</v>
      </c>
      <c r="B43" s="69" t="s">
        <v>781</v>
      </c>
      <c r="C43" s="69">
        <v>662070</v>
      </c>
    </row>
    <row r="44" spans="1:3" x14ac:dyDescent="0.25">
      <c r="A44" s="69" t="s">
        <v>718</v>
      </c>
      <c r="B44" s="69" t="s">
        <v>782</v>
      </c>
      <c r="C44" s="69">
        <v>581640</v>
      </c>
    </row>
    <row r="45" spans="1:3" x14ac:dyDescent="0.25">
      <c r="A45" s="69" t="s">
        <v>719</v>
      </c>
      <c r="B45" s="69" t="s">
        <v>783</v>
      </c>
      <c r="C45" s="69">
        <v>722620</v>
      </c>
    </row>
    <row r="46" spans="1:3" x14ac:dyDescent="0.25">
      <c r="A46" s="69" t="s">
        <v>720</v>
      </c>
      <c r="B46" s="69" t="s">
        <v>784</v>
      </c>
      <c r="C46" s="69">
        <v>494340</v>
      </c>
    </row>
    <row r="47" spans="1:3" x14ac:dyDescent="0.25">
      <c r="A47" s="69" t="s">
        <v>721</v>
      </c>
      <c r="B47" s="69" t="s">
        <v>785</v>
      </c>
      <c r="C47" s="69">
        <v>656880</v>
      </c>
    </row>
    <row r="48" spans="1:3" x14ac:dyDescent="0.25">
      <c r="A48" s="69" t="s">
        <v>722</v>
      </c>
      <c r="B48" s="69" t="s">
        <v>786</v>
      </c>
      <c r="C48" s="69">
        <v>668320</v>
      </c>
    </row>
    <row r="49" spans="1:3" x14ac:dyDescent="0.25">
      <c r="A49" s="69" t="s">
        <v>71</v>
      </c>
      <c r="B49" s="69" t="s">
        <v>378</v>
      </c>
      <c r="C49" s="69">
        <v>321960</v>
      </c>
    </row>
    <row r="50" spans="1:3" x14ac:dyDescent="0.25">
      <c r="A50" s="69" t="s">
        <v>72</v>
      </c>
      <c r="B50" s="69" t="s">
        <v>379</v>
      </c>
      <c r="C50" s="69">
        <v>380160</v>
      </c>
    </row>
    <row r="51" spans="1:3" x14ac:dyDescent="0.25">
      <c r="A51" s="69" t="s">
        <v>73</v>
      </c>
      <c r="B51" s="69" t="s">
        <v>380</v>
      </c>
      <c r="C51" s="69">
        <v>337360</v>
      </c>
    </row>
    <row r="52" spans="1:3" x14ac:dyDescent="0.25">
      <c r="A52" s="69" t="s">
        <v>74</v>
      </c>
      <c r="B52" s="69" t="s">
        <v>381</v>
      </c>
      <c r="C52" s="69">
        <v>493880</v>
      </c>
    </row>
    <row r="53" spans="1:3" x14ac:dyDescent="0.25">
      <c r="A53" s="69" t="s">
        <v>75</v>
      </c>
      <c r="B53" s="69" t="s">
        <v>382</v>
      </c>
      <c r="C53" s="69">
        <v>450120</v>
      </c>
    </row>
    <row r="54" spans="1:3" x14ac:dyDescent="0.25">
      <c r="A54" s="69" t="s">
        <v>77</v>
      </c>
      <c r="B54" s="69" t="s">
        <v>383</v>
      </c>
      <c r="C54" s="69">
        <v>398040</v>
      </c>
    </row>
    <row r="55" spans="1:3" x14ac:dyDescent="0.25">
      <c r="A55" s="69" t="s">
        <v>78</v>
      </c>
      <c r="B55" s="69" t="s">
        <v>384</v>
      </c>
      <c r="C55" s="69">
        <v>409170</v>
      </c>
    </row>
    <row r="56" spans="1:3" x14ac:dyDescent="0.25">
      <c r="A56" s="69" t="s">
        <v>79</v>
      </c>
      <c r="B56" s="69" t="s">
        <v>385</v>
      </c>
      <c r="C56" s="69">
        <v>359410</v>
      </c>
    </row>
    <row r="57" spans="1:3" x14ac:dyDescent="0.25">
      <c r="A57" s="69" t="s">
        <v>80</v>
      </c>
      <c r="B57" s="69" t="s">
        <v>386</v>
      </c>
      <c r="C57" s="69">
        <v>336950</v>
      </c>
    </row>
    <row r="58" spans="1:3" x14ac:dyDescent="0.25">
      <c r="A58" s="69" t="s">
        <v>695</v>
      </c>
      <c r="B58" s="69" t="s">
        <v>787</v>
      </c>
      <c r="C58" s="69">
        <v>318990</v>
      </c>
    </row>
    <row r="59" spans="1:3" x14ac:dyDescent="0.25">
      <c r="A59" s="69" t="s">
        <v>82</v>
      </c>
      <c r="B59" s="69" t="s">
        <v>387</v>
      </c>
      <c r="C59" s="69">
        <v>564490</v>
      </c>
    </row>
    <row r="60" spans="1:3" x14ac:dyDescent="0.25">
      <c r="A60" s="69" t="s">
        <v>83</v>
      </c>
      <c r="B60" s="69" t="s">
        <v>388</v>
      </c>
      <c r="C60" s="69">
        <v>623050</v>
      </c>
    </row>
    <row r="61" spans="1:3" x14ac:dyDescent="0.25">
      <c r="A61" s="69" t="s">
        <v>84</v>
      </c>
      <c r="B61" s="69" t="s">
        <v>389</v>
      </c>
      <c r="C61" s="69">
        <v>521940</v>
      </c>
    </row>
    <row r="62" spans="1:3" x14ac:dyDescent="0.25">
      <c r="A62" s="69" t="s">
        <v>85</v>
      </c>
      <c r="B62" s="69" t="s">
        <v>788</v>
      </c>
      <c r="C62" s="69">
        <v>444770</v>
      </c>
    </row>
    <row r="63" spans="1:3" x14ac:dyDescent="0.25">
      <c r="A63" s="69" t="s">
        <v>86</v>
      </c>
      <c r="B63" s="69" t="s">
        <v>789</v>
      </c>
      <c r="C63" s="69">
        <v>548740</v>
      </c>
    </row>
    <row r="64" spans="1:3" x14ac:dyDescent="0.25">
      <c r="A64" s="69" t="s">
        <v>142</v>
      </c>
      <c r="B64" s="69" t="s">
        <v>390</v>
      </c>
      <c r="C64" s="69">
        <v>508610</v>
      </c>
    </row>
    <row r="65" spans="1:3" x14ac:dyDescent="0.25">
      <c r="A65" s="69" t="s">
        <v>696</v>
      </c>
      <c r="B65" s="69" t="s">
        <v>391</v>
      </c>
      <c r="C65" s="69">
        <v>464810</v>
      </c>
    </row>
    <row r="66" spans="1:3" x14ac:dyDescent="0.25">
      <c r="A66" s="69" t="s">
        <v>697</v>
      </c>
      <c r="B66" s="69" t="s">
        <v>392</v>
      </c>
      <c r="C66" s="69">
        <v>440680</v>
      </c>
    </row>
    <row r="67" spans="1:3" x14ac:dyDescent="0.25">
      <c r="A67" s="69" t="s">
        <v>698</v>
      </c>
      <c r="B67" s="69" t="s">
        <v>393</v>
      </c>
      <c r="C67" s="69">
        <v>578060</v>
      </c>
    </row>
    <row r="68" spans="1:3" x14ac:dyDescent="0.25">
      <c r="A68" s="69" t="s">
        <v>64</v>
      </c>
      <c r="B68" s="69" t="s">
        <v>437</v>
      </c>
      <c r="C68" s="69">
        <v>397640</v>
      </c>
    </row>
    <row r="69" spans="1:3" x14ac:dyDescent="0.25">
      <c r="A69" s="69" t="s">
        <v>65</v>
      </c>
      <c r="B69" s="69" t="s">
        <v>438</v>
      </c>
      <c r="C69" s="69">
        <v>521300</v>
      </c>
    </row>
    <row r="70" spans="1:3" x14ac:dyDescent="0.25">
      <c r="A70" s="69" t="s">
        <v>66</v>
      </c>
      <c r="B70" s="69" t="s">
        <v>439</v>
      </c>
      <c r="C70" s="69">
        <v>471360</v>
      </c>
    </row>
    <row r="71" spans="1:3" x14ac:dyDescent="0.25">
      <c r="A71" s="69" t="s">
        <v>67</v>
      </c>
      <c r="B71" s="69" t="s">
        <v>440</v>
      </c>
      <c r="C71" s="69">
        <v>338000</v>
      </c>
    </row>
    <row r="72" spans="1:3" x14ac:dyDescent="0.25">
      <c r="A72" s="69" t="s">
        <v>68</v>
      </c>
      <c r="B72" s="69" t="s">
        <v>441</v>
      </c>
      <c r="C72" s="69">
        <v>357750</v>
      </c>
    </row>
    <row r="73" spans="1:3" x14ac:dyDescent="0.25">
      <c r="A73" s="69" t="s">
        <v>69</v>
      </c>
      <c r="B73" s="69" t="s">
        <v>442</v>
      </c>
      <c r="C73" s="69">
        <v>654330</v>
      </c>
    </row>
    <row r="74" spans="1:3" x14ac:dyDescent="0.25">
      <c r="A74" s="69" t="s">
        <v>121</v>
      </c>
      <c r="B74" s="69" t="s">
        <v>405</v>
      </c>
      <c r="C74" s="69">
        <v>710560</v>
      </c>
    </row>
    <row r="75" spans="1:3" x14ac:dyDescent="0.25">
      <c r="A75" s="69" t="s">
        <v>122</v>
      </c>
      <c r="B75" s="69" t="s">
        <v>406</v>
      </c>
      <c r="C75" s="69">
        <v>432080</v>
      </c>
    </row>
    <row r="76" spans="1:3" x14ac:dyDescent="0.25">
      <c r="A76" s="69" t="s">
        <v>123</v>
      </c>
      <c r="B76" s="69" t="s">
        <v>407</v>
      </c>
      <c r="C76" s="69">
        <v>503330</v>
      </c>
    </row>
    <row r="77" spans="1:3" x14ac:dyDescent="0.25">
      <c r="A77" s="69" t="s">
        <v>124</v>
      </c>
      <c r="B77" s="69" t="s">
        <v>408</v>
      </c>
      <c r="C77" s="69">
        <v>547870</v>
      </c>
    </row>
    <row r="78" spans="1:3" x14ac:dyDescent="0.25">
      <c r="A78" s="69" t="s">
        <v>125</v>
      </c>
      <c r="B78" s="69" t="s">
        <v>409</v>
      </c>
      <c r="C78" s="69">
        <v>423120</v>
      </c>
    </row>
    <row r="79" spans="1:3" x14ac:dyDescent="0.25">
      <c r="A79" s="69" t="s">
        <v>126</v>
      </c>
      <c r="B79" s="69" t="s">
        <v>410</v>
      </c>
      <c r="C79" s="69">
        <v>505700</v>
      </c>
    </row>
    <row r="80" spans="1:3" x14ac:dyDescent="0.25">
      <c r="A80" s="69" t="s">
        <v>128</v>
      </c>
      <c r="B80" s="69" t="s">
        <v>426</v>
      </c>
      <c r="C80" s="69">
        <v>441300</v>
      </c>
    </row>
    <row r="81" spans="1:3" x14ac:dyDescent="0.25">
      <c r="A81" s="69" t="s">
        <v>129</v>
      </c>
      <c r="B81" s="69" t="s">
        <v>427</v>
      </c>
      <c r="C81" s="69">
        <v>399240</v>
      </c>
    </row>
    <row r="82" spans="1:3" x14ac:dyDescent="0.25">
      <c r="A82" s="69" t="s">
        <v>130</v>
      </c>
      <c r="B82" s="69" t="s">
        <v>428</v>
      </c>
      <c r="C82" s="69">
        <v>891060</v>
      </c>
    </row>
    <row r="83" spans="1:3" x14ac:dyDescent="0.25">
      <c r="A83" s="69" t="s">
        <v>131</v>
      </c>
      <c r="B83" s="69" t="s">
        <v>429</v>
      </c>
      <c r="C83" s="69">
        <v>576310</v>
      </c>
    </row>
    <row r="84" spans="1:3" x14ac:dyDescent="0.25">
      <c r="A84" s="69" t="s">
        <v>132</v>
      </c>
      <c r="B84" s="69" t="s">
        <v>430</v>
      </c>
      <c r="C84" s="69">
        <v>552470</v>
      </c>
    </row>
    <row r="85" spans="1:3" x14ac:dyDescent="0.25">
      <c r="A85" s="69" t="s">
        <v>133</v>
      </c>
      <c r="B85" s="69" t="s">
        <v>431</v>
      </c>
      <c r="C85" s="69">
        <v>444960</v>
      </c>
    </row>
    <row r="86" spans="1:3" x14ac:dyDescent="0.25">
      <c r="A86" s="69" t="s">
        <v>135</v>
      </c>
      <c r="B86" s="69" t="s">
        <v>432</v>
      </c>
      <c r="C86" s="69">
        <v>474440</v>
      </c>
    </row>
    <row r="87" spans="1:3" x14ac:dyDescent="0.25">
      <c r="A87" s="69" t="s">
        <v>136</v>
      </c>
      <c r="B87" s="69" t="s">
        <v>433</v>
      </c>
      <c r="C87" s="69">
        <v>512850</v>
      </c>
    </row>
    <row r="88" spans="1:3" x14ac:dyDescent="0.25">
      <c r="A88" s="69" t="s">
        <v>137</v>
      </c>
      <c r="B88" s="69" t="s">
        <v>434</v>
      </c>
      <c r="C88" s="69">
        <v>521450</v>
      </c>
    </row>
    <row r="89" spans="1:3" x14ac:dyDescent="0.25">
      <c r="A89" s="69" t="s">
        <v>138</v>
      </c>
      <c r="B89" s="69" t="s">
        <v>435</v>
      </c>
      <c r="C89" s="69">
        <v>530100</v>
      </c>
    </row>
    <row r="90" spans="1:3" x14ac:dyDescent="0.25">
      <c r="A90" s="69" t="s">
        <v>139</v>
      </c>
      <c r="B90" s="69" t="s">
        <v>436</v>
      </c>
      <c r="C90" s="69">
        <v>448380</v>
      </c>
    </row>
    <row r="91" spans="1:3" x14ac:dyDescent="0.25">
      <c r="A91" s="69" t="s">
        <v>140</v>
      </c>
      <c r="B91" s="69" t="s">
        <v>790</v>
      </c>
      <c r="C91" s="69">
        <v>593850</v>
      </c>
    </row>
    <row r="92" spans="1:3" x14ac:dyDescent="0.25">
      <c r="A92" s="69" t="s">
        <v>702</v>
      </c>
      <c r="B92" s="69" t="s">
        <v>791</v>
      </c>
      <c r="C92" s="69">
        <v>318380</v>
      </c>
    </row>
    <row r="93" spans="1:3" x14ac:dyDescent="0.25">
      <c r="A93" s="69" t="s">
        <v>143</v>
      </c>
      <c r="B93" s="69" t="s">
        <v>443</v>
      </c>
      <c r="C93" s="69">
        <v>348080</v>
      </c>
    </row>
    <row r="94" spans="1:3" x14ac:dyDescent="0.25">
      <c r="A94" s="69" t="s">
        <v>209</v>
      </c>
      <c r="B94" s="69" t="s">
        <v>444</v>
      </c>
      <c r="C94" s="69">
        <v>420320</v>
      </c>
    </row>
    <row r="95" spans="1:3" x14ac:dyDescent="0.25">
      <c r="A95" s="69" t="s">
        <v>210</v>
      </c>
      <c r="B95" s="69" t="s">
        <v>445</v>
      </c>
      <c r="C95" s="69">
        <v>330730</v>
      </c>
    </row>
    <row r="96" spans="1:3" x14ac:dyDescent="0.25">
      <c r="A96" s="69" t="s">
        <v>145</v>
      </c>
      <c r="B96" s="69" t="s">
        <v>446</v>
      </c>
      <c r="C96" s="69">
        <v>368240</v>
      </c>
    </row>
    <row r="97" spans="1:3" x14ac:dyDescent="0.25">
      <c r="A97" s="69" t="s">
        <v>146</v>
      </c>
      <c r="B97" s="69" t="s">
        <v>447</v>
      </c>
      <c r="C97" s="69">
        <v>365520</v>
      </c>
    </row>
    <row r="98" spans="1:3" x14ac:dyDescent="0.25">
      <c r="A98" s="69" t="s">
        <v>147</v>
      </c>
      <c r="B98" s="69" t="s">
        <v>792</v>
      </c>
      <c r="C98" s="69">
        <v>537660</v>
      </c>
    </row>
    <row r="99" spans="1:3" x14ac:dyDescent="0.25">
      <c r="A99" s="69" t="s">
        <v>148</v>
      </c>
      <c r="B99" s="69" t="s">
        <v>793</v>
      </c>
      <c r="C99" s="69">
        <v>471750</v>
      </c>
    </row>
    <row r="100" spans="1:3" x14ac:dyDescent="0.25">
      <c r="A100" s="69" t="s">
        <v>149</v>
      </c>
      <c r="B100" s="69" t="s">
        <v>448</v>
      </c>
      <c r="C100" s="69">
        <v>519030</v>
      </c>
    </row>
    <row r="101" spans="1:3" x14ac:dyDescent="0.25">
      <c r="A101" s="69" t="s">
        <v>151</v>
      </c>
      <c r="B101" s="69" t="s">
        <v>449</v>
      </c>
      <c r="C101" s="69">
        <v>359910</v>
      </c>
    </row>
    <row r="102" spans="1:3" x14ac:dyDescent="0.25">
      <c r="A102" s="69" t="s">
        <v>152</v>
      </c>
      <c r="B102" s="69" t="s">
        <v>794</v>
      </c>
      <c r="C102" s="69">
        <v>340070</v>
      </c>
    </row>
    <row r="103" spans="1:3" x14ac:dyDescent="0.25">
      <c r="A103" s="69" t="s">
        <v>153</v>
      </c>
      <c r="B103" s="69" t="s">
        <v>450</v>
      </c>
      <c r="C103" s="69">
        <v>350320</v>
      </c>
    </row>
    <row r="104" spans="1:3" x14ac:dyDescent="0.25">
      <c r="A104" s="69" t="s">
        <v>154</v>
      </c>
      <c r="B104" s="69" t="s">
        <v>451</v>
      </c>
      <c r="C104" s="69">
        <v>300000</v>
      </c>
    </row>
    <row r="105" spans="1:3" x14ac:dyDescent="0.25">
      <c r="A105" s="69" t="s">
        <v>705</v>
      </c>
      <c r="B105" s="69" t="s">
        <v>795</v>
      </c>
      <c r="C105" s="69">
        <v>364570</v>
      </c>
    </row>
    <row r="106" spans="1:3" x14ac:dyDescent="0.25">
      <c r="A106" s="69" t="s">
        <v>211</v>
      </c>
      <c r="B106" s="69" t="s">
        <v>796</v>
      </c>
      <c r="C106" s="69">
        <v>319210</v>
      </c>
    </row>
    <row r="107" spans="1:3" x14ac:dyDescent="0.25">
      <c r="A107" s="69" t="s">
        <v>212</v>
      </c>
      <c r="B107" s="69" t="s">
        <v>797</v>
      </c>
      <c r="C107" s="69">
        <v>318930</v>
      </c>
    </row>
    <row r="108" spans="1:3" x14ac:dyDescent="0.25">
      <c r="A108" s="69" t="s">
        <v>213</v>
      </c>
      <c r="B108" s="69" t="s">
        <v>374</v>
      </c>
      <c r="C108" s="69">
        <v>461660</v>
      </c>
    </row>
    <row r="109" spans="1:3" x14ac:dyDescent="0.25">
      <c r="A109" s="69" t="s">
        <v>214</v>
      </c>
      <c r="B109" s="69" t="s">
        <v>798</v>
      </c>
      <c r="C109" s="69">
        <v>408690</v>
      </c>
    </row>
    <row r="110" spans="1:3" x14ac:dyDescent="0.25">
      <c r="A110" s="69" t="s">
        <v>215</v>
      </c>
      <c r="B110" s="69" t="s">
        <v>799</v>
      </c>
      <c r="C110" s="69">
        <v>339520</v>
      </c>
    </row>
    <row r="111" spans="1:3" x14ac:dyDescent="0.25">
      <c r="A111" s="69" t="s">
        <v>216</v>
      </c>
      <c r="B111" s="69" t="s">
        <v>800</v>
      </c>
      <c r="C111" s="69">
        <v>432450</v>
      </c>
    </row>
    <row r="112" spans="1:3" x14ac:dyDescent="0.25">
      <c r="A112" s="69" t="s">
        <v>218</v>
      </c>
      <c r="B112" s="69" t="s">
        <v>801</v>
      </c>
      <c r="C112" s="69">
        <v>618370</v>
      </c>
    </row>
    <row r="113" spans="1:3" x14ac:dyDescent="0.25">
      <c r="A113" s="69" t="s">
        <v>219</v>
      </c>
      <c r="B113" s="69" t="s">
        <v>802</v>
      </c>
      <c r="C113" s="69">
        <v>612130</v>
      </c>
    </row>
    <row r="114" spans="1:3" x14ac:dyDescent="0.25">
      <c r="A114" s="69" t="s">
        <v>220</v>
      </c>
      <c r="B114" s="69" t="s">
        <v>375</v>
      </c>
      <c r="C114" s="69">
        <v>443690</v>
      </c>
    </row>
    <row r="115" spans="1:3" x14ac:dyDescent="0.25">
      <c r="A115" s="69" t="s">
        <v>221</v>
      </c>
      <c r="B115" s="69" t="s">
        <v>376</v>
      </c>
      <c r="C115" s="69">
        <v>416820</v>
      </c>
    </row>
    <row r="116" spans="1:3" x14ac:dyDescent="0.25">
      <c r="A116" s="69" t="s">
        <v>222</v>
      </c>
      <c r="B116" s="69" t="s">
        <v>377</v>
      </c>
      <c r="C116" s="69">
        <v>303380</v>
      </c>
    </row>
    <row r="117" spans="1:3" x14ac:dyDescent="0.25">
      <c r="A117" s="69" t="s">
        <v>224</v>
      </c>
      <c r="B117" s="69" t="s">
        <v>803</v>
      </c>
      <c r="C117" s="69">
        <v>456420</v>
      </c>
    </row>
    <row r="118" spans="1:3" x14ac:dyDescent="0.25">
      <c r="A118" s="69" t="s">
        <v>225</v>
      </c>
      <c r="B118" s="69" t="s">
        <v>804</v>
      </c>
      <c r="C118" s="69">
        <v>689120</v>
      </c>
    </row>
    <row r="119" spans="1:3" x14ac:dyDescent="0.25">
      <c r="A119" s="69" t="s">
        <v>226</v>
      </c>
      <c r="B119" s="69" t="s">
        <v>394</v>
      </c>
      <c r="C119" s="69">
        <v>524440</v>
      </c>
    </row>
    <row r="120" spans="1:3" x14ac:dyDescent="0.25">
      <c r="A120" s="69" t="s">
        <v>227</v>
      </c>
      <c r="B120" s="69" t="s">
        <v>395</v>
      </c>
      <c r="C120" s="69">
        <v>675830</v>
      </c>
    </row>
    <row r="121" spans="1:3" x14ac:dyDescent="0.25">
      <c r="A121" s="69" t="s">
        <v>228</v>
      </c>
      <c r="B121" s="69" t="s">
        <v>396</v>
      </c>
      <c r="C121" s="69">
        <v>855860</v>
      </c>
    </row>
    <row r="122" spans="1:3" x14ac:dyDescent="0.25">
      <c r="A122" s="69" t="s">
        <v>229</v>
      </c>
      <c r="B122" s="69" t="s">
        <v>397</v>
      </c>
      <c r="C122" s="69">
        <v>811850</v>
      </c>
    </row>
    <row r="123" spans="1:3" x14ac:dyDescent="0.25">
      <c r="A123" s="69" t="s">
        <v>231</v>
      </c>
      <c r="B123" s="69" t="s">
        <v>805</v>
      </c>
      <c r="C123" s="69">
        <v>308340</v>
      </c>
    </row>
    <row r="124" spans="1:3" x14ac:dyDescent="0.25">
      <c r="A124" s="69" t="s">
        <v>232</v>
      </c>
      <c r="B124" s="69" t="s">
        <v>806</v>
      </c>
      <c r="C124" s="69">
        <v>307750</v>
      </c>
    </row>
    <row r="125" spans="1:3" x14ac:dyDescent="0.25">
      <c r="A125" s="69" t="s">
        <v>233</v>
      </c>
      <c r="B125" s="69" t="s">
        <v>807</v>
      </c>
      <c r="C125" s="69">
        <v>552700</v>
      </c>
    </row>
    <row r="126" spans="1:3" x14ac:dyDescent="0.25">
      <c r="A126" s="69" t="s">
        <v>234</v>
      </c>
      <c r="B126" s="69" t="s">
        <v>399</v>
      </c>
      <c r="C126" s="69">
        <v>387580</v>
      </c>
    </row>
    <row r="127" spans="1:3" x14ac:dyDescent="0.25">
      <c r="A127" s="69" t="s">
        <v>235</v>
      </c>
      <c r="B127" s="69" t="s">
        <v>400</v>
      </c>
      <c r="C127" s="69">
        <v>303790</v>
      </c>
    </row>
    <row r="128" spans="1:3" x14ac:dyDescent="0.25">
      <c r="A128" s="69" t="s">
        <v>237</v>
      </c>
      <c r="B128" s="69" t="s">
        <v>401</v>
      </c>
      <c r="C128" s="69">
        <v>312970</v>
      </c>
    </row>
    <row r="129" spans="1:3" x14ac:dyDescent="0.25">
      <c r="A129" s="69" t="s">
        <v>238</v>
      </c>
      <c r="B129" s="69" t="s">
        <v>402</v>
      </c>
      <c r="C129" s="69">
        <v>310460</v>
      </c>
    </row>
    <row r="130" spans="1:3" x14ac:dyDescent="0.25">
      <c r="A130" s="69" t="s">
        <v>239</v>
      </c>
      <c r="B130" s="69" t="s">
        <v>403</v>
      </c>
      <c r="C130" s="69">
        <v>307420</v>
      </c>
    </row>
    <row r="131" spans="1:3" x14ac:dyDescent="0.25">
      <c r="A131" s="69" t="s">
        <v>240</v>
      </c>
      <c r="B131" s="69" t="s">
        <v>404</v>
      </c>
      <c r="C131" s="69">
        <v>464950</v>
      </c>
    </row>
    <row r="132" spans="1:3" x14ac:dyDescent="0.25">
      <c r="A132" s="69" t="s">
        <v>242</v>
      </c>
      <c r="B132" s="69" t="s">
        <v>808</v>
      </c>
      <c r="C132" s="69">
        <v>356840</v>
      </c>
    </row>
    <row r="133" spans="1:3" x14ac:dyDescent="0.25">
      <c r="A133" s="69" t="s">
        <v>243</v>
      </c>
      <c r="B133" s="69" t="s">
        <v>809</v>
      </c>
      <c r="C133" s="69">
        <v>388670</v>
      </c>
    </row>
    <row r="134" spans="1:3" x14ac:dyDescent="0.25">
      <c r="A134" s="69" t="s">
        <v>244</v>
      </c>
      <c r="B134" s="69" t="s">
        <v>810</v>
      </c>
      <c r="C134" s="69">
        <v>303650</v>
      </c>
    </row>
    <row r="135" spans="1:3" x14ac:dyDescent="0.25">
      <c r="A135" s="69" t="s">
        <v>245</v>
      </c>
      <c r="B135" s="69" t="s">
        <v>811</v>
      </c>
      <c r="C135" s="69">
        <v>310520</v>
      </c>
    </row>
    <row r="136" spans="1:3" x14ac:dyDescent="0.25">
      <c r="A136" s="69" t="s">
        <v>706</v>
      </c>
      <c r="B136" s="69" t="s">
        <v>413</v>
      </c>
      <c r="C136" s="69">
        <v>309530</v>
      </c>
    </row>
    <row r="137" spans="1:3" x14ac:dyDescent="0.25">
      <c r="A137" s="69" t="s">
        <v>247</v>
      </c>
      <c r="B137" s="69" t="s">
        <v>398</v>
      </c>
      <c r="C137" s="69">
        <v>657550</v>
      </c>
    </row>
    <row r="138" spans="1:3" x14ac:dyDescent="0.25">
      <c r="A138" s="69" t="s">
        <v>248</v>
      </c>
      <c r="B138" s="69" t="s">
        <v>812</v>
      </c>
      <c r="C138" s="69">
        <v>301450</v>
      </c>
    </row>
    <row r="139" spans="1:3" x14ac:dyDescent="0.25">
      <c r="A139" s="69" t="s">
        <v>249</v>
      </c>
      <c r="B139" s="69" t="s">
        <v>813</v>
      </c>
      <c r="C139" s="69">
        <v>301490</v>
      </c>
    </row>
    <row r="140" spans="1:3" x14ac:dyDescent="0.25">
      <c r="A140" s="69" t="s">
        <v>250</v>
      </c>
      <c r="B140" s="69" t="s">
        <v>411</v>
      </c>
      <c r="C140" s="69">
        <v>310450</v>
      </c>
    </row>
    <row r="141" spans="1:3" x14ac:dyDescent="0.25">
      <c r="A141" s="69" t="s">
        <v>251</v>
      </c>
      <c r="B141" s="69" t="s">
        <v>412</v>
      </c>
      <c r="C141" s="69">
        <v>310740</v>
      </c>
    </row>
    <row r="142" spans="1:3" x14ac:dyDescent="0.25">
      <c r="A142" s="69" t="s">
        <v>331</v>
      </c>
      <c r="B142" s="69" t="s">
        <v>814</v>
      </c>
      <c r="C142" s="69">
        <v>356600</v>
      </c>
    </row>
    <row r="143" spans="1:3" x14ac:dyDescent="0.25">
      <c r="A143" s="69" t="s">
        <v>332</v>
      </c>
      <c r="B143" s="69" t="s">
        <v>815</v>
      </c>
      <c r="C143" s="69">
        <v>352260</v>
      </c>
    </row>
    <row r="144" spans="1:3" x14ac:dyDescent="0.25">
      <c r="A144" s="69" t="s">
        <v>333</v>
      </c>
      <c r="B144" s="69" t="s">
        <v>816</v>
      </c>
      <c r="C144" s="69">
        <v>301030</v>
      </c>
    </row>
    <row r="145" spans="1:3" x14ac:dyDescent="0.25">
      <c r="A145" s="69" t="s">
        <v>334</v>
      </c>
      <c r="B145" s="69" t="s">
        <v>817</v>
      </c>
      <c r="C145" s="69">
        <v>330890</v>
      </c>
    </row>
    <row r="146" spans="1:3" x14ac:dyDescent="0.25">
      <c r="A146" s="69" t="s">
        <v>335</v>
      </c>
      <c r="B146" s="69" t="s">
        <v>818</v>
      </c>
      <c r="C146" s="69">
        <v>300900</v>
      </c>
    </row>
    <row r="147" spans="1:3" x14ac:dyDescent="0.25">
      <c r="A147" s="69" t="s">
        <v>562</v>
      </c>
      <c r="B147" s="69" t="s">
        <v>819</v>
      </c>
      <c r="C147" s="69">
        <v>405430</v>
      </c>
    </row>
    <row r="148" spans="1:3" x14ac:dyDescent="0.25">
      <c r="A148" s="69" t="s">
        <v>563</v>
      </c>
      <c r="B148" s="69" t="s">
        <v>820</v>
      </c>
      <c r="C148" s="69">
        <v>443700</v>
      </c>
    </row>
    <row r="149" spans="1:3" x14ac:dyDescent="0.25">
      <c r="A149" s="69" t="s">
        <v>564</v>
      </c>
      <c r="B149" s="69" t="s">
        <v>821</v>
      </c>
      <c r="C149" s="69">
        <v>362700</v>
      </c>
    </row>
    <row r="150" spans="1:3" x14ac:dyDescent="0.25">
      <c r="A150" s="69" t="s">
        <v>733</v>
      </c>
      <c r="B150" s="69" t="s">
        <v>822</v>
      </c>
      <c r="C150" s="69">
        <v>433400</v>
      </c>
    </row>
    <row r="151" spans="1:3" x14ac:dyDescent="0.25">
      <c r="A151" s="69" t="s">
        <v>734</v>
      </c>
      <c r="B151" s="69" t="s">
        <v>823</v>
      </c>
      <c r="C151" s="69">
        <v>433400</v>
      </c>
    </row>
    <row r="152" spans="1:3" x14ac:dyDescent="0.25">
      <c r="A152" s="69" t="s">
        <v>565</v>
      </c>
      <c r="B152" s="69" t="s">
        <v>824</v>
      </c>
      <c r="C152" s="69">
        <v>535910</v>
      </c>
    </row>
    <row r="153" spans="1:3" x14ac:dyDescent="0.25">
      <c r="A153" s="69" t="s">
        <v>566</v>
      </c>
      <c r="B153" s="69" t="s">
        <v>825</v>
      </c>
      <c r="C153" s="69">
        <v>584610</v>
      </c>
    </row>
    <row r="154" spans="1:3" x14ac:dyDescent="0.25">
      <c r="A154" s="69" t="s">
        <v>567</v>
      </c>
      <c r="B154" s="69" t="s">
        <v>826</v>
      </c>
      <c r="C154" s="69">
        <v>459630</v>
      </c>
    </row>
    <row r="155" spans="1:3" x14ac:dyDescent="0.25">
      <c r="A155" s="69" t="s">
        <v>737</v>
      </c>
      <c r="B155" s="69" t="s">
        <v>827</v>
      </c>
      <c r="C155" s="69">
        <v>403760</v>
      </c>
    </row>
    <row r="156" spans="1:3" x14ac:dyDescent="0.25">
      <c r="A156" s="69" t="s">
        <v>738</v>
      </c>
      <c r="B156" s="69" t="s">
        <v>828</v>
      </c>
      <c r="C156" s="69">
        <v>386960</v>
      </c>
    </row>
    <row r="157" spans="1:3" x14ac:dyDescent="0.25">
      <c r="A157" s="69" t="s">
        <v>569</v>
      </c>
      <c r="B157" s="69" t="s">
        <v>829</v>
      </c>
      <c r="C157" s="69">
        <v>304550</v>
      </c>
    </row>
    <row r="158" spans="1:3" x14ac:dyDescent="0.25">
      <c r="A158" s="69" t="s">
        <v>570</v>
      </c>
      <c r="B158" s="69" t="s">
        <v>830</v>
      </c>
      <c r="C158" s="69">
        <v>300710</v>
      </c>
    </row>
    <row r="159" spans="1:3" x14ac:dyDescent="0.25">
      <c r="A159" s="69" t="s">
        <v>571</v>
      </c>
      <c r="B159" s="69" t="s">
        <v>831</v>
      </c>
      <c r="C159" s="69">
        <v>361220</v>
      </c>
    </row>
    <row r="160" spans="1:3" x14ac:dyDescent="0.25">
      <c r="A160" s="69" t="s">
        <v>572</v>
      </c>
      <c r="B160" s="69" t="s">
        <v>832</v>
      </c>
      <c r="C160" s="69">
        <v>300740</v>
      </c>
    </row>
    <row r="161" spans="1:3" x14ac:dyDescent="0.25">
      <c r="A161" s="69" t="s">
        <v>573</v>
      </c>
      <c r="B161" s="69" t="s">
        <v>833</v>
      </c>
      <c r="C161" s="69">
        <v>308310</v>
      </c>
    </row>
    <row r="162" spans="1:3" x14ac:dyDescent="0.25">
      <c r="A162" s="69" t="s">
        <v>575</v>
      </c>
      <c r="B162" s="69" t="s">
        <v>834</v>
      </c>
      <c r="C162" s="69">
        <v>300580</v>
      </c>
    </row>
    <row r="163" spans="1:3" x14ac:dyDescent="0.25">
      <c r="A163" s="69" t="s">
        <v>576</v>
      </c>
      <c r="B163" s="69" t="s">
        <v>835</v>
      </c>
      <c r="C163" s="69">
        <v>300370</v>
      </c>
    </row>
    <row r="164" spans="1:3" x14ac:dyDescent="0.25">
      <c r="A164" s="69" t="s">
        <v>577</v>
      </c>
      <c r="B164" s="69" t="s">
        <v>836</v>
      </c>
      <c r="C164" s="69">
        <v>302800</v>
      </c>
    </row>
    <row r="165" spans="1:3" x14ac:dyDescent="0.25">
      <c r="A165" s="69" t="s">
        <v>578</v>
      </c>
      <c r="B165" s="69" t="s">
        <v>837</v>
      </c>
      <c r="C165" s="69">
        <v>315060</v>
      </c>
    </row>
    <row r="166" spans="1:3" x14ac:dyDescent="0.25">
      <c r="A166" s="69" t="s">
        <v>579</v>
      </c>
      <c r="B166" s="69" t="s">
        <v>838</v>
      </c>
      <c r="C166" s="69">
        <v>300440</v>
      </c>
    </row>
    <row r="167" spans="1:3" x14ac:dyDescent="0.25">
      <c r="A167" s="69" t="s">
        <v>323</v>
      </c>
      <c r="B167" s="69" t="s">
        <v>839</v>
      </c>
      <c r="C167" s="69">
        <v>300200</v>
      </c>
    </row>
    <row r="168" spans="1:3" x14ac:dyDescent="0.25">
      <c r="A168" s="69" t="s">
        <v>324</v>
      </c>
      <c r="B168" s="69" t="s">
        <v>840</v>
      </c>
      <c r="C168" s="69">
        <v>330020</v>
      </c>
    </row>
    <row r="169" spans="1:3" x14ac:dyDescent="0.25">
      <c r="A169" s="69" t="s">
        <v>325</v>
      </c>
      <c r="B169" s="69" t="s">
        <v>841</v>
      </c>
      <c r="C169" s="69">
        <v>300220</v>
      </c>
    </row>
    <row r="170" spans="1:3" x14ac:dyDescent="0.25">
      <c r="A170" s="69" t="s">
        <v>326</v>
      </c>
      <c r="B170" s="69" t="s">
        <v>842</v>
      </c>
      <c r="C170" s="69">
        <v>320070</v>
      </c>
    </row>
    <row r="171" spans="1:3" x14ac:dyDescent="0.25">
      <c r="A171" s="69" t="s">
        <v>327</v>
      </c>
      <c r="B171" s="69" t="s">
        <v>843</v>
      </c>
      <c r="C171" s="69">
        <v>300450</v>
      </c>
    </row>
    <row r="172" spans="1:3" x14ac:dyDescent="0.25">
      <c r="A172" s="69" t="s">
        <v>328</v>
      </c>
      <c r="B172" s="69" t="s">
        <v>844</v>
      </c>
      <c r="C172" s="69">
        <v>443590</v>
      </c>
    </row>
    <row r="173" spans="1:3" x14ac:dyDescent="0.25">
      <c r="A173" s="69" t="s">
        <v>329</v>
      </c>
      <c r="B173" s="69" t="s">
        <v>845</v>
      </c>
      <c r="C173" s="69">
        <v>352950</v>
      </c>
    </row>
    <row r="174" spans="1:3" x14ac:dyDescent="0.25">
      <c r="A174" s="69" t="s">
        <v>337</v>
      </c>
      <c r="B174" s="69" t="s">
        <v>846</v>
      </c>
      <c r="C174" s="69">
        <v>340670</v>
      </c>
    </row>
    <row r="175" spans="1:3" x14ac:dyDescent="0.25">
      <c r="A175" s="69" t="s">
        <v>338</v>
      </c>
      <c r="B175" s="69" t="s">
        <v>847</v>
      </c>
      <c r="C175" s="69">
        <v>417690</v>
      </c>
    </row>
    <row r="176" spans="1:3" x14ac:dyDescent="0.25">
      <c r="A176" s="69" t="s">
        <v>339</v>
      </c>
      <c r="B176" s="69" t="s">
        <v>848</v>
      </c>
      <c r="C176" s="69">
        <v>369360</v>
      </c>
    </row>
    <row r="177" spans="1:3" x14ac:dyDescent="0.25">
      <c r="A177" s="69" t="s">
        <v>340</v>
      </c>
      <c r="B177" s="69" t="s">
        <v>849</v>
      </c>
      <c r="C177" s="69">
        <v>372590</v>
      </c>
    </row>
    <row r="178" spans="1:3" x14ac:dyDescent="0.25">
      <c r="A178" s="69" t="s">
        <v>341</v>
      </c>
      <c r="B178" s="69" t="s">
        <v>850</v>
      </c>
      <c r="C178" s="69">
        <v>300900</v>
      </c>
    </row>
    <row r="179" spans="1:3" x14ac:dyDescent="0.25">
      <c r="A179" s="69" t="s">
        <v>343</v>
      </c>
      <c r="B179" s="69" t="s">
        <v>851</v>
      </c>
      <c r="C179" s="69">
        <v>300650</v>
      </c>
    </row>
    <row r="180" spans="1:3" x14ac:dyDescent="0.25">
      <c r="A180" s="69" t="s">
        <v>344</v>
      </c>
      <c r="B180" s="69" t="s">
        <v>852</v>
      </c>
      <c r="C180" s="69">
        <v>300770</v>
      </c>
    </row>
    <row r="181" spans="1:3" x14ac:dyDescent="0.25">
      <c r="A181" s="69" t="s">
        <v>345</v>
      </c>
      <c r="B181" s="69" t="s">
        <v>853</v>
      </c>
      <c r="C181" s="69">
        <v>300030</v>
      </c>
    </row>
    <row r="182" spans="1:3" x14ac:dyDescent="0.25">
      <c r="A182" s="69" t="s">
        <v>346</v>
      </c>
      <c r="B182" s="69" t="s">
        <v>854</v>
      </c>
      <c r="C182" s="69">
        <v>300140</v>
      </c>
    </row>
    <row r="183" spans="1:3" x14ac:dyDescent="0.25">
      <c r="A183" s="69" t="s">
        <v>347</v>
      </c>
      <c r="B183" s="69" t="s">
        <v>855</v>
      </c>
      <c r="C183" s="69">
        <v>303090</v>
      </c>
    </row>
    <row r="184" spans="1:3" x14ac:dyDescent="0.25">
      <c r="A184" s="69" t="s">
        <v>711</v>
      </c>
      <c r="B184" s="69" t="s">
        <v>856</v>
      </c>
      <c r="C184" s="69">
        <v>300250</v>
      </c>
    </row>
    <row r="185" spans="1:3" x14ac:dyDescent="0.25">
      <c r="A185" s="69" t="s">
        <v>712</v>
      </c>
      <c r="B185" s="69" t="s">
        <v>857</v>
      </c>
      <c r="C185" s="69">
        <v>472820</v>
      </c>
    </row>
    <row r="186" spans="1:3" x14ac:dyDescent="0.25">
      <c r="A186" s="69" t="s">
        <v>713</v>
      </c>
      <c r="B186" s="69" t="s">
        <v>858</v>
      </c>
      <c r="C186" s="69">
        <v>480060</v>
      </c>
    </row>
    <row r="187" spans="1:3" x14ac:dyDescent="0.25">
      <c r="A187" s="69" t="s">
        <v>714</v>
      </c>
      <c r="B187" s="69" t="s">
        <v>859</v>
      </c>
      <c r="C187" s="69">
        <v>356260</v>
      </c>
    </row>
    <row r="188" spans="1:3" x14ac:dyDescent="0.25">
      <c r="A188" s="69" t="s">
        <v>715</v>
      </c>
      <c r="B188" s="69" t="s">
        <v>860</v>
      </c>
      <c r="C188" s="69">
        <v>300600</v>
      </c>
    </row>
    <row r="189" spans="1:3" x14ac:dyDescent="0.25">
      <c r="A189" s="69" t="s">
        <v>525</v>
      </c>
      <c r="B189" s="69" t="s">
        <v>861</v>
      </c>
      <c r="C189" s="69">
        <v>835310</v>
      </c>
    </row>
    <row r="190" spans="1:3" x14ac:dyDescent="0.25">
      <c r="A190" s="69" t="s">
        <v>526</v>
      </c>
      <c r="B190" s="69" t="s">
        <v>862</v>
      </c>
      <c r="C190" s="69">
        <v>780910</v>
      </c>
    </row>
    <row r="191" spans="1:3" x14ac:dyDescent="0.25">
      <c r="A191" s="69" t="s">
        <v>527</v>
      </c>
      <c r="B191" s="69" t="s">
        <v>863</v>
      </c>
      <c r="C191" s="69">
        <v>614150</v>
      </c>
    </row>
    <row r="192" spans="1:3" x14ac:dyDescent="0.25">
      <c r="A192" s="69" t="s">
        <v>528</v>
      </c>
      <c r="B192" s="69" t="s">
        <v>864</v>
      </c>
      <c r="C192" s="69">
        <v>646240</v>
      </c>
    </row>
    <row r="193" spans="1:3" x14ac:dyDescent="0.25">
      <c r="A193" s="69" t="s">
        <v>724</v>
      </c>
      <c r="B193" s="69" t="s">
        <v>865</v>
      </c>
      <c r="C193" s="69">
        <v>527230</v>
      </c>
    </row>
    <row r="194" spans="1:3" x14ac:dyDescent="0.25">
      <c r="A194" s="69" t="s">
        <v>725</v>
      </c>
      <c r="B194" s="69" t="s">
        <v>866</v>
      </c>
      <c r="C194" s="69">
        <v>958820</v>
      </c>
    </row>
    <row r="195" spans="1:3" x14ac:dyDescent="0.25">
      <c r="A195" s="69" t="s">
        <v>533</v>
      </c>
      <c r="B195" s="69" t="s">
        <v>867</v>
      </c>
      <c r="C195" s="69">
        <v>616390</v>
      </c>
    </row>
    <row r="196" spans="1:3" x14ac:dyDescent="0.25">
      <c r="A196" s="69" t="s">
        <v>534</v>
      </c>
      <c r="B196" s="69" t="s">
        <v>868</v>
      </c>
      <c r="C196" s="69">
        <v>652500</v>
      </c>
    </row>
    <row r="197" spans="1:3" x14ac:dyDescent="0.25">
      <c r="A197" s="69" t="s">
        <v>535</v>
      </c>
      <c r="B197" s="69" t="s">
        <v>869</v>
      </c>
      <c r="C197" s="69">
        <v>1016510</v>
      </c>
    </row>
    <row r="198" spans="1:3" x14ac:dyDescent="0.25">
      <c r="A198" s="69" t="s">
        <v>532</v>
      </c>
      <c r="B198" s="69" t="s">
        <v>870</v>
      </c>
      <c r="C198" s="69">
        <v>803270</v>
      </c>
    </row>
    <row r="199" spans="1:3" x14ac:dyDescent="0.25">
      <c r="A199" s="69" t="s">
        <v>726</v>
      </c>
      <c r="B199" s="69" t="s">
        <v>871</v>
      </c>
      <c r="C199" s="69">
        <v>919580</v>
      </c>
    </row>
    <row r="200" spans="1:3" x14ac:dyDescent="0.25">
      <c r="A200" s="69" t="s">
        <v>727</v>
      </c>
      <c r="B200" s="69" t="s">
        <v>872</v>
      </c>
      <c r="C200" s="69">
        <v>581570</v>
      </c>
    </row>
    <row r="201" spans="1:3" x14ac:dyDescent="0.25">
      <c r="A201" s="69" t="s">
        <v>530</v>
      </c>
      <c r="B201" s="69" t="s">
        <v>873</v>
      </c>
      <c r="C201" s="69">
        <v>1161490</v>
      </c>
    </row>
    <row r="202" spans="1:3" x14ac:dyDescent="0.25">
      <c r="A202" s="69" t="s">
        <v>531</v>
      </c>
      <c r="B202" s="69" t="s">
        <v>874</v>
      </c>
      <c r="C202" s="69">
        <v>1148340</v>
      </c>
    </row>
    <row r="203" spans="1:3" x14ac:dyDescent="0.25">
      <c r="A203" s="69" t="s">
        <v>730</v>
      </c>
      <c r="B203" s="69" t="s">
        <v>875</v>
      </c>
      <c r="C203" s="69">
        <v>842520</v>
      </c>
    </row>
    <row r="204" spans="1:3" x14ac:dyDescent="0.25">
      <c r="A204" s="69" t="s">
        <v>728</v>
      </c>
      <c r="B204" s="69" t="s">
        <v>876</v>
      </c>
      <c r="C204" s="69">
        <v>1161690</v>
      </c>
    </row>
    <row r="205" spans="1:3" x14ac:dyDescent="0.25">
      <c r="A205" s="69" t="s">
        <v>729</v>
      </c>
      <c r="B205" s="69" t="s">
        <v>877</v>
      </c>
      <c r="C205" s="69">
        <v>978950</v>
      </c>
    </row>
    <row r="206" spans="1:3" x14ac:dyDescent="0.25">
      <c r="A206" s="69" t="s">
        <v>689</v>
      </c>
      <c r="B206" s="69" t="s">
        <v>878</v>
      </c>
      <c r="C206" s="69">
        <v>32660</v>
      </c>
    </row>
    <row r="207" spans="1:3" x14ac:dyDescent="0.25">
      <c r="A207" s="69" t="s">
        <v>537</v>
      </c>
      <c r="B207" s="69" t="s">
        <v>879</v>
      </c>
      <c r="C207" s="69">
        <v>474680</v>
      </c>
    </row>
    <row r="208" spans="1:3" x14ac:dyDescent="0.25">
      <c r="A208" s="69" t="s">
        <v>538</v>
      </c>
      <c r="B208" s="69" t="s">
        <v>880</v>
      </c>
      <c r="C208" s="69">
        <v>588620</v>
      </c>
    </row>
    <row r="209" spans="1:3" x14ac:dyDescent="0.25">
      <c r="A209" s="69" t="s">
        <v>539</v>
      </c>
      <c r="B209" s="69" t="s">
        <v>881</v>
      </c>
      <c r="C209" s="69">
        <v>487800</v>
      </c>
    </row>
    <row r="210" spans="1:3" x14ac:dyDescent="0.25">
      <c r="A210" s="69" t="s">
        <v>540</v>
      </c>
      <c r="B210" s="69" t="s">
        <v>882</v>
      </c>
      <c r="C210" s="69">
        <v>410000</v>
      </c>
    </row>
    <row r="211" spans="1:3" x14ac:dyDescent="0.25">
      <c r="A211" s="69" t="s">
        <v>541</v>
      </c>
      <c r="B211" s="69" t="s">
        <v>883</v>
      </c>
      <c r="C211" s="69">
        <v>567760</v>
      </c>
    </row>
    <row r="212" spans="1:3" x14ac:dyDescent="0.25">
      <c r="A212" s="69" t="s">
        <v>543</v>
      </c>
      <c r="B212" s="69" t="s">
        <v>884</v>
      </c>
      <c r="C212" s="69">
        <v>685470</v>
      </c>
    </row>
    <row r="213" spans="1:3" x14ac:dyDescent="0.25">
      <c r="A213" s="69" t="s">
        <v>544</v>
      </c>
      <c r="B213" s="69" t="s">
        <v>885</v>
      </c>
      <c r="C213" s="69">
        <v>377930</v>
      </c>
    </row>
    <row r="214" spans="1:3" x14ac:dyDescent="0.25">
      <c r="A214" s="69" t="s">
        <v>545</v>
      </c>
      <c r="B214" s="69" t="s">
        <v>886</v>
      </c>
      <c r="C214" s="69">
        <v>346940</v>
      </c>
    </row>
    <row r="215" spans="1:3" x14ac:dyDescent="0.25">
      <c r="A215" s="69" t="s">
        <v>546</v>
      </c>
      <c r="B215" s="69" t="s">
        <v>887</v>
      </c>
      <c r="C215" s="69">
        <v>464910</v>
      </c>
    </row>
    <row r="216" spans="1:3" x14ac:dyDescent="0.25">
      <c r="A216" s="69" t="s">
        <v>547</v>
      </c>
      <c r="B216" s="69" t="s">
        <v>888</v>
      </c>
      <c r="C216" s="69">
        <v>664970</v>
      </c>
    </row>
    <row r="217" spans="1:3" x14ac:dyDescent="0.25">
      <c r="A217" s="69" t="s">
        <v>549</v>
      </c>
      <c r="B217" s="69" t="s">
        <v>889</v>
      </c>
      <c r="C217" s="69">
        <v>320190</v>
      </c>
    </row>
    <row r="218" spans="1:3" x14ac:dyDescent="0.25">
      <c r="A218" s="69" t="s">
        <v>550</v>
      </c>
      <c r="B218" s="69" t="s">
        <v>890</v>
      </c>
      <c r="C218" s="69">
        <v>328620</v>
      </c>
    </row>
    <row r="219" spans="1:3" x14ac:dyDescent="0.25">
      <c r="A219" s="69" t="s">
        <v>551</v>
      </c>
      <c r="B219" s="69" t="s">
        <v>891</v>
      </c>
      <c r="C219" s="69">
        <v>478490</v>
      </c>
    </row>
    <row r="220" spans="1:3" x14ac:dyDescent="0.25">
      <c r="A220" s="69" t="s">
        <v>552</v>
      </c>
      <c r="B220" s="69" t="s">
        <v>892</v>
      </c>
      <c r="C220" s="69">
        <v>432160</v>
      </c>
    </row>
    <row r="221" spans="1:3" x14ac:dyDescent="0.25">
      <c r="A221" s="69" t="s">
        <v>553</v>
      </c>
      <c r="B221" s="69" t="s">
        <v>893</v>
      </c>
      <c r="C221" s="69">
        <v>313230</v>
      </c>
    </row>
    <row r="222" spans="1:3" x14ac:dyDescent="0.25">
      <c r="A222" s="69" t="s">
        <v>555</v>
      </c>
      <c r="B222" s="69" t="s">
        <v>894</v>
      </c>
      <c r="C222" s="69">
        <v>400250</v>
      </c>
    </row>
    <row r="223" spans="1:3" x14ac:dyDescent="0.25">
      <c r="A223" s="69" t="s">
        <v>556</v>
      </c>
      <c r="B223" s="69" t="s">
        <v>895</v>
      </c>
      <c r="C223" s="69">
        <v>318990</v>
      </c>
    </row>
    <row r="224" spans="1:3" x14ac:dyDescent="0.25">
      <c r="A224" s="69" t="s">
        <v>557</v>
      </c>
      <c r="B224" s="69" t="s">
        <v>896</v>
      </c>
      <c r="C224" s="69">
        <v>465010</v>
      </c>
    </row>
    <row r="225" spans="1:3" x14ac:dyDescent="0.25">
      <c r="A225" s="69" t="s">
        <v>558</v>
      </c>
      <c r="B225" s="69" t="s">
        <v>897</v>
      </c>
      <c r="C225" s="69">
        <v>602780</v>
      </c>
    </row>
    <row r="226" spans="1:3" x14ac:dyDescent="0.25">
      <c r="A226" s="69" t="s">
        <v>559</v>
      </c>
      <c r="B226" s="69" t="s">
        <v>898</v>
      </c>
      <c r="C226" s="69">
        <v>555810</v>
      </c>
    </row>
    <row r="227" spans="1:3" x14ac:dyDescent="0.25">
      <c r="A227" s="69" t="s">
        <v>88</v>
      </c>
      <c r="B227" s="69" t="s">
        <v>414</v>
      </c>
      <c r="C227" s="69">
        <v>400150</v>
      </c>
    </row>
    <row r="228" spans="1:3" x14ac:dyDescent="0.25">
      <c r="A228" s="69" t="s">
        <v>89</v>
      </c>
      <c r="B228" s="69" t="s">
        <v>415</v>
      </c>
      <c r="C228" s="69">
        <v>648730</v>
      </c>
    </row>
    <row r="229" spans="1:3" x14ac:dyDescent="0.25">
      <c r="A229" s="69" t="s">
        <v>90</v>
      </c>
      <c r="B229" s="69" t="s">
        <v>416</v>
      </c>
      <c r="C229" s="69">
        <v>367740</v>
      </c>
    </row>
    <row r="230" spans="1:3" x14ac:dyDescent="0.25">
      <c r="A230" s="69" t="s">
        <v>91</v>
      </c>
      <c r="B230" s="69" t="s">
        <v>899</v>
      </c>
      <c r="C230" s="69">
        <v>571770</v>
      </c>
    </row>
    <row r="231" spans="1:3" x14ac:dyDescent="0.25">
      <c r="A231" s="69" t="s">
        <v>699</v>
      </c>
      <c r="B231" s="69" t="s">
        <v>900</v>
      </c>
      <c r="C231" s="69">
        <v>379800</v>
      </c>
    </row>
    <row r="232" spans="1:3" x14ac:dyDescent="0.25">
      <c r="A232" s="69" t="s">
        <v>93</v>
      </c>
      <c r="B232" s="69" t="s">
        <v>417</v>
      </c>
      <c r="C232" s="69">
        <v>483230</v>
      </c>
    </row>
    <row r="233" spans="1:3" x14ac:dyDescent="0.25">
      <c r="A233" s="69" t="s">
        <v>94</v>
      </c>
      <c r="B233" s="69" t="s">
        <v>418</v>
      </c>
      <c r="C233" s="69">
        <v>553240</v>
      </c>
    </row>
    <row r="234" spans="1:3" x14ac:dyDescent="0.25">
      <c r="A234" s="69" t="s">
        <v>95</v>
      </c>
      <c r="B234" s="69" t="s">
        <v>419</v>
      </c>
      <c r="C234" s="69">
        <v>314210</v>
      </c>
    </row>
    <row r="235" spans="1:3" x14ac:dyDescent="0.25">
      <c r="A235" s="69" t="s">
        <v>96</v>
      </c>
      <c r="B235" s="69" t="s">
        <v>420</v>
      </c>
      <c r="C235" s="69">
        <v>505860</v>
      </c>
    </row>
    <row r="236" spans="1:3" x14ac:dyDescent="0.25">
      <c r="A236" s="69" t="s">
        <v>97</v>
      </c>
      <c r="B236" s="69" t="s">
        <v>421</v>
      </c>
      <c r="C236" s="69">
        <v>360630</v>
      </c>
    </row>
    <row r="237" spans="1:3" x14ac:dyDescent="0.25">
      <c r="A237" s="69" t="s">
        <v>99</v>
      </c>
      <c r="B237" s="69" t="s">
        <v>422</v>
      </c>
      <c r="C237" s="69">
        <v>510300</v>
      </c>
    </row>
    <row r="238" spans="1:3" x14ac:dyDescent="0.25">
      <c r="A238" s="69" t="s">
        <v>100</v>
      </c>
      <c r="B238" s="69" t="s">
        <v>423</v>
      </c>
      <c r="C238" s="69">
        <v>417100</v>
      </c>
    </row>
    <row r="239" spans="1:3" x14ac:dyDescent="0.25">
      <c r="A239" s="69" t="s">
        <v>101</v>
      </c>
      <c r="B239" s="69" t="s">
        <v>424</v>
      </c>
      <c r="C239" s="69">
        <v>357030</v>
      </c>
    </row>
    <row r="240" spans="1:3" x14ac:dyDescent="0.25">
      <c r="A240" s="69" t="s">
        <v>102</v>
      </c>
      <c r="B240" s="69" t="s">
        <v>425</v>
      </c>
      <c r="C240" s="69">
        <v>337980</v>
      </c>
    </row>
    <row r="241" spans="1:3" x14ac:dyDescent="0.25">
      <c r="A241" s="69" t="s">
        <v>104</v>
      </c>
      <c r="B241" s="69" t="s">
        <v>901</v>
      </c>
      <c r="C241" s="69">
        <v>530070</v>
      </c>
    </row>
    <row r="242" spans="1:3" x14ac:dyDescent="0.25">
      <c r="A242" s="69" t="s">
        <v>105</v>
      </c>
      <c r="B242" s="69" t="s">
        <v>902</v>
      </c>
      <c r="C242" s="69">
        <v>365960</v>
      </c>
    </row>
    <row r="243" spans="1:3" x14ac:dyDescent="0.25">
      <c r="A243" s="69" t="s">
        <v>106</v>
      </c>
      <c r="B243" s="69" t="s">
        <v>903</v>
      </c>
      <c r="C243" s="69">
        <v>542400</v>
      </c>
    </row>
    <row r="244" spans="1:3" x14ac:dyDescent="0.25">
      <c r="A244" s="69" t="s">
        <v>107</v>
      </c>
      <c r="B244" s="69" t="s">
        <v>452</v>
      </c>
      <c r="C244" s="69">
        <v>690370</v>
      </c>
    </row>
    <row r="245" spans="1:3" x14ac:dyDescent="0.25">
      <c r="A245" s="69" t="s">
        <v>108</v>
      </c>
      <c r="B245" s="69" t="s">
        <v>904</v>
      </c>
      <c r="C245" s="69">
        <v>365320</v>
      </c>
    </row>
    <row r="246" spans="1:3" x14ac:dyDescent="0.25">
      <c r="A246" s="69" t="s">
        <v>110</v>
      </c>
      <c r="B246" s="69" t="s">
        <v>905</v>
      </c>
      <c r="C246" s="69">
        <v>274760</v>
      </c>
    </row>
    <row r="247" spans="1:3" x14ac:dyDescent="0.25">
      <c r="A247" s="69" t="s">
        <v>111</v>
      </c>
      <c r="B247" s="69" t="s">
        <v>906</v>
      </c>
      <c r="C247" s="69">
        <v>618000</v>
      </c>
    </row>
    <row r="248" spans="1:3" x14ac:dyDescent="0.25">
      <c r="A248" s="69" t="s">
        <v>112</v>
      </c>
      <c r="B248" s="69" t="s">
        <v>907</v>
      </c>
      <c r="C248" s="69">
        <v>568900</v>
      </c>
    </row>
    <row r="249" spans="1:3" x14ac:dyDescent="0.25">
      <c r="A249" s="69" t="s">
        <v>113</v>
      </c>
      <c r="B249" s="69" t="s">
        <v>908</v>
      </c>
      <c r="C249" s="69">
        <v>518280</v>
      </c>
    </row>
    <row r="250" spans="1:3" x14ac:dyDescent="0.25">
      <c r="A250" s="69" t="s">
        <v>114</v>
      </c>
      <c r="B250" s="69" t="s">
        <v>909</v>
      </c>
      <c r="C250" s="69">
        <v>411060</v>
      </c>
    </row>
    <row r="251" spans="1:3" x14ac:dyDescent="0.25">
      <c r="A251" s="69" t="s">
        <v>116</v>
      </c>
      <c r="B251" s="69" t="s">
        <v>453</v>
      </c>
      <c r="C251" s="69">
        <v>678550</v>
      </c>
    </row>
    <row r="252" spans="1:3" x14ac:dyDescent="0.25">
      <c r="A252" s="69" t="s">
        <v>117</v>
      </c>
      <c r="B252" s="69" t="s">
        <v>454</v>
      </c>
      <c r="C252" s="69">
        <v>452370</v>
      </c>
    </row>
    <row r="253" spans="1:3" x14ac:dyDescent="0.25">
      <c r="A253" s="69" t="s">
        <v>118</v>
      </c>
      <c r="B253" s="69" t="s">
        <v>455</v>
      </c>
      <c r="C253" s="69">
        <v>392730</v>
      </c>
    </row>
    <row r="254" spans="1:3" x14ac:dyDescent="0.25">
      <c r="A254" s="69" t="s">
        <v>119</v>
      </c>
      <c r="B254" s="69" t="s">
        <v>456</v>
      </c>
      <c r="C254" s="69">
        <v>553200</v>
      </c>
    </row>
    <row r="255" spans="1:3" x14ac:dyDescent="0.25">
      <c r="A255" s="69" t="s">
        <v>700</v>
      </c>
      <c r="B255" s="69" t="s">
        <v>910</v>
      </c>
      <c r="C255" s="69">
        <v>510900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Hierarchy Level</vt:lpstr>
      <vt:lpstr>Depot Head - 27 Depots (DNR)</vt:lpstr>
      <vt:lpstr>MIO Value Target (DNR)</vt:lpstr>
      <vt:lpstr>Employee Hierarchy</vt:lpstr>
      <vt:lpstr>Sheet1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Surajit Kar</dc:creator>
  <cp:lastModifiedBy>APL HRD5</cp:lastModifiedBy>
  <cp:lastPrinted>2026-02-09T07:36:37Z</cp:lastPrinted>
  <dcterms:created xsi:type="dcterms:W3CDTF">2018-08-07T05:53:05Z</dcterms:created>
  <dcterms:modified xsi:type="dcterms:W3CDTF">2026-08-31T06:14:12Z</dcterms:modified>
</cp:coreProperties>
</file>